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D\70_member\ThuyLNT\LA_Design\TKAPI\"/>
    </mc:Choice>
  </mc:AlternateContent>
  <xr:revisionPtr revIDLastSave="0" documentId="13_ncr:1_{BBCC55CB-13E9-4A47-A479-6D8F98C17763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Bìa" sheetId="16" r:id="rId1"/>
    <sheet name="Lịch sử thay đổi" sheetId="44" r:id="rId2"/>
    <sheet name="Sơ đồ ER" sheetId="19" r:id="rId3"/>
    <sheet name="Danh sách bảng" sheetId="18" r:id="rId4"/>
    <sheet name="employees" sheetId="48" r:id="rId5"/>
    <sheet name="departments" sheetId="51" r:id="rId6"/>
    <sheet name="certifications" sheetId="57" r:id="rId7"/>
    <sheet name="employees_certifications" sheetId="52" r:id="rId8"/>
  </sheets>
  <externalReferences>
    <externalReference r:id="rId9"/>
  </externalReferences>
  <definedNames>
    <definedName name="validate">[1]tmp!$G$6:$G$7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57" l="1"/>
  <c r="BC2" i="57"/>
  <c r="AY2" i="57"/>
  <c r="AT2" i="57"/>
  <c r="AP2" i="57"/>
  <c r="K2" i="57"/>
  <c r="K2" i="52"/>
  <c r="W1" i="57"/>
  <c r="W1" i="52"/>
  <c r="A2" i="57"/>
  <c r="A2" i="48"/>
  <c r="A2" i="51"/>
  <c r="AP4" i="48"/>
  <c r="AP2" i="19"/>
  <c r="B24" i="52" l="1"/>
  <c r="B25" i="52" s="1"/>
  <c r="B26" i="52" s="1"/>
  <c r="B27" i="52" s="1"/>
  <c r="B28" i="52" s="1"/>
  <c r="H4" i="57" l="1"/>
  <c r="AP4" i="57" l="1"/>
  <c r="AP4" i="52" l="1"/>
  <c r="Z4" i="52"/>
  <c r="H4" i="52"/>
  <c r="AT2" i="52"/>
  <c r="AP2" i="52"/>
  <c r="A2" i="52"/>
  <c r="AP4" i="51"/>
  <c r="Z4" i="51"/>
  <c r="H4" i="51"/>
  <c r="AT2" i="51"/>
  <c r="AP2" i="51"/>
  <c r="K2" i="51"/>
  <c r="W1" i="51"/>
  <c r="B12" i="18" l="1"/>
  <c r="B13" i="18" s="1"/>
  <c r="B14" i="18" s="1"/>
  <c r="BH2" i="16" l="1"/>
  <c r="BC2" i="16"/>
  <c r="AY2" i="16"/>
  <c r="BH2" i="51" l="1"/>
  <c r="BH2" i="52"/>
  <c r="BC2" i="44"/>
  <c r="BC2" i="52"/>
  <c r="BC2" i="51"/>
  <c r="AY2" i="44"/>
  <c r="AY2" i="52"/>
  <c r="AY2" i="51"/>
  <c r="Z4" i="48" l="1"/>
  <c r="W1" i="48"/>
  <c r="K2" i="48"/>
  <c r="H4" i="48"/>
  <c r="Z4" i="18" l="1"/>
  <c r="W1" i="18"/>
  <c r="K2" i="18"/>
  <c r="H4" i="18"/>
  <c r="A2" i="18"/>
  <c r="Z4" i="19"/>
  <c r="W1" i="19"/>
  <c r="K2" i="19"/>
  <c r="H4" i="19"/>
  <c r="A2" i="19"/>
  <c r="Z4" i="44"/>
  <c r="W1" i="44"/>
  <c r="K2" i="44"/>
  <c r="H4" i="44"/>
  <c r="A2" i="44"/>
  <c r="L24" i="16"/>
  <c r="AP2" i="18" l="1"/>
  <c r="AP2" i="48"/>
  <c r="AP2" i="44"/>
  <c r="AT2" i="19"/>
  <c r="AT2" i="18"/>
  <c r="AT2" i="44"/>
  <c r="AT2" i="48"/>
  <c r="AY2" i="19"/>
  <c r="AY2" i="18"/>
  <c r="AY2" i="48"/>
  <c r="BC2" i="19"/>
  <c r="BC2" i="18"/>
  <c r="BC2" i="48"/>
  <c r="BH2" i="19"/>
  <c r="BH2" i="18"/>
  <c r="BH2" i="44"/>
  <c r="BH2" i="48"/>
</calcChain>
</file>

<file path=xl/sharedStrings.xml><?xml version="1.0" encoding="utf-8"?>
<sst xmlns="http://schemas.openxmlformats.org/spreadsheetml/2006/main" count="290" uniqueCount="113">
  <si>
    <t>ー</t>
    <phoneticPr fontId="4"/>
  </si>
  <si>
    <t>No.</t>
    <phoneticPr fontId="16"/>
  </si>
  <si>
    <t>PK</t>
    <phoneticPr fontId="16"/>
  </si>
  <si>
    <t>Not Null</t>
  </si>
  <si>
    <t>Tạo mới tài liệu</t>
    <phoneticPr fontId="4"/>
  </si>
  <si>
    <t>departments</t>
    <phoneticPr fontId="4"/>
  </si>
  <si>
    <t>Aurora</t>
  </si>
  <si>
    <t>社員サービス</t>
    <phoneticPr fontId="16"/>
  </si>
  <si>
    <t>departments</t>
    <phoneticPr fontId="16"/>
  </si>
  <si>
    <t>Tên (Tên)</t>
  </si>
  <si>
    <t>Tên (kana) (Tên)</t>
  </si>
  <si>
    <t>Địa chỉ email</t>
  </si>
  <si>
    <t>Số điện thoại</t>
  </si>
  <si>
    <t>Auto increment</t>
  </si>
  <si>
    <t>Yes</t>
    <phoneticPr fontId="16"/>
  </si>
  <si>
    <t>Yes</t>
    <phoneticPr fontId="16"/>
  </si>
  <si>
    <t>BIGINT</t>
  </si>
  <si>
    <t>VARCHAR(100)</t>
  </si>
  <si>
    <t>VARCHAR(50)</t>
  </si>
  <si>
    <t>Yes</t>
  </si>
  <si>
    <t>Yes</t>
    <phoneticPr fontId="16"/>
  </si>
  <si>
    <t>ID bộ phân</t>
  </si>
  <si>
    <t>Tên bộ phận</t>
  </si>
  <si>
    <t>department_id</t>
  </si>
  <si>
    <t>department_name</t>
  </si>
  <si>
    <t>FK departments.department_id</t>
  </si>
  <si>
    <t>Auto increment</t>
    <phoneticPr fontId="16"/>
  </si>
  <si>
    <t>No.</t>
    <phoneticPr fontId="16"/>
  </si>
  <si>
    <t>-</t>
  </si>
  <si>
    <r>
      <rPr>
        <sz val="11"/>
        <rFont val="Meiryo UI"/>
        <family val="3"/>
        <charset val="128"/>
      </rPr>
      <t xml:space="preserve">No. </t>
    </r>
  </si>
  <si>
    <t>ThanhPD</t>
  </si>
  <si>
    <t>Bảng thông tin phòng ban</t>
  </si>
  <si>
    <t>Bảng thông tin trình độ tiếng Nhật</t>
  </si>
  <si>
    <t>Mysql</t>
  </si>
  <si>
    <t>start_date</t>
  </si>
  <si>
    <t>end_date</t>
  </si>
  <si>
    <t>Điểm</t>
  </si>
  <si>
    <t>score</t>
  </si>
  <si>
    <t>DECIMAL</t>
  </si>
  <si>
    <t>Tên tài khoản</t>
  </si>
  <si>
    <t>Mật khẩu</t>
  </si>
  <si>
    <t>Ngày sinh</t>
  </si>
  <si>
    <t>DATE</t>
  </si>
  <si>
    <t>Manager User</t>
  </si>
  <si>
    <t>INT</t>
  </si>
  <si>
    <t>ID nhân viên</t>
  </si>
  <si>
    <t>employees</t>
  </si>
  <si>
    <t>employee_id</t>
  </si>
  <si>
    <t>employee_name</t>
  </si>
  <si>
    <t>employee_name_kana</t>
  </si>
  <si>
    <t>employee_email</t>
  </si>
  <si>
    <t>employee_telephone</t>
  </si>
  <si>
    <t>employee_login_id</t>
  </si>
  <si>
    <t>employee_login_password</t>
  </si>
  <si>
    <t>certifications</t>
  </si>
  <si>
    <t>certification_id</t>
  </si>
  <si>
    <t>certification_name</t>
  </si>
  <si>
    <t>employees_certifications</t>
  </si>
  <si>
    <t>employee_certification_id</t>
  </si>
  <si>
    <t>ID chứng chỉ tiếng Nhật</t>
  </si>
  <si>
    <t>Tên chứng chỉ</t>
  </si>
  <si>
    <t>Cấp độ của chứng chỉ</t>
  </si>
  <si>
    <t>certification_level</t>
  </si>
  <si>
    <t>ID quan hệ nhân viên và chứng chỉ tiếng Nhật</t>
  </si>
  <si>
    <t>FK certifications.certification_id</t>
  </si>
  <si>
    <t>FK employees.employee_id</t>
  </si>
  <si>
    <t>ID chứng chỉ</t>
  </si>
  <si>
    <t>Ngày đạt chứng chỉ</t>
  </si>
  <si>
    <t>Người hết hạn chứng chỉ</t>
  </si>
  <si>
    <t>Tên logic</t>
  </si>
  <si>
    <t>Tên vật lý</t>
  </si>
  <si>
    <t>●Danh sách các bảng</t>
  </si>
  <si>
    <t>employee_birth_date</t>
  </si>
  <si>
    <t>Trình độ tiếng nhật cấp 1</t>
  </si>
  <si>
    <t>Trình độ tiếng nhật cấp 2</t>
  </si>
  <si>
    <t>Trình độ tiếng nhật cấp 3</t>
  </si>
  <si>
    <t>Trình độ tiếng nhật cấp 4</t>
  </si>
  <si>
    <t>Trình độ tiếng nhật cấp 5</t>
  </si>
  <si>
    <t>■Data Master</t>
  </si>
  <si>
    <t>Tên system</t>
  </si>
  <si>
    <t>Loại system</t>
  </si>
  <si>
    <t>Category chức năng</t>
  </si>
  <si>
    <t>Hạng mục</t>
  </si>
  <si>
    <t>TKDB</t>
  </si>
  <si>
    <t>Người tạo</t>
  </si>
  <si>
    <t>Ngày tạo</t>
  </si>
  <si>
    <t>Người update</t>
  </si>
  <si>
    <t>Ngày update</t>
  </si>
  <si>
    <t>Version</t>
  </si>
  <si>
    <t>Bìa</t>
  </si>
  <si>
    <t xml:space="preserve">Ngày tạo </t>
  </si>
  <si>
    <t>Lịch sử thay đổi</t>
  </si>
  <si>
    <t>Date</t>
  </si>
  <si>
    <t>■Lịch sử thay đổi</t>
  </si>
  <si>
    <t>Nội dung thay đổi</t>
  </si>
  <si>
    <t>Ngày phê chuẩn</t>
  </si>
  <si>
    <t>Người phê chuẩn</t>
  </si>
  <si>
    <t>14_Thiết kế DB</t>
  </si>
  <si>
    <t>Sơ đồ ER</t>
  </si>
  <si>
    <t>Danh sách bảng</t>
  </si>
  <si>
    <t xml:space="preserve">Người tạo </t>
  </si>
  <si>
    <t>■Thông tin bảng</t>
  </si>
  <si>
    <t>Bảng thông tin nhân viên</t>
  </si>
  <si>
    <t>Bảng quan hệ nhân viên trình độ tiếng Nhật</t>
  </si>
  <si>
    <t>Tên schema</t>
  </si>
  <si>
    <t>Ghi chú</t>
  </si>
  <si>
    <t>Tên RDBMS</t>
  </si>
  <si>
    <t>■Thông tin cột</t>
  </si>
  <si>
    <t>Data Type</t>
  </si>
  <si>
    <t>Format</t>
  </si>
  <si>
    <t>user</t>
  </si>
  <si>
    <t>Giá trị càng nhỏ thì trình độ càng cao</t>
  </si>
  <si>
    <t>VARCHAR(255)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</si>
</sst>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¥&quot;#,##0;[Red]&quot;¥&quot;\-#,##0"/>
    <numFmt numFmtId="165" formatCode="&quot;¥&quot;#,##0.00;[Red]&quot;¥&quot;\-#,##0.00"/>
    <numFmt numFmtId="166" formatCode="yyyy/mm/dd;@"/>
    <numFmt numFmtId="167" formatCode="0.0_);[Red]\(0.0\)"/>
  </numFmts>
  <fonts count="33">
    <font>
      <sz val="11"/>
      <name val="Meiryo UI"/>
      <family val="3"/>
      <charset val="128"/>
    </font>
    <font>
      <sz val="11"/>
      <name val="Meiryo UI"/>
      <family val="3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8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theme="0"/>
      <name val="Meiryo UI"/>
      <family val="3"/>
    </font>
    <font>
      <b/>
      <sz val="24"/>
      <name val="Meiryo UI"/>
      <family val="3"/>
      <charset val="128"/>
    </font>
    <font>
      <b/>
      <sz val="11"/>
      <color rgb="FFFFFFFF"/>
      <name val="メイリオ"/>
      <family val="3"/>
      <charset val="128"/>
    </font>
    <font>
      <b/>
      <sz val="11"/>
      <color indexed="9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color rgb="FF0000FF"/>
      <name val="メイリオ"/>
      <family val="3"/>
      <charset val="128"/>
    </font>
    <font>
      <b/>
      <sz val="11"/>
      <color theme="0"/>
      <name val="Meiryo UI"/>
      <family val="3"/>
      <charset val="128"/>
    </font>
    <font>
      <strike/>
      <sz val="11"/>
      <name val="Meiryo UI"/>
      <family val="3"/>
      <charset val="128"/>
    </font>
    <font>
      <sz val="10"/>
      <color rgb="FF0000FF"/>
      <name val="ＭＳ Ｐゴシック"/>
      <family val="3"/>
      <charset val="128"/>
    </font>
    <font>
      <sz val="11"/>
      <color rgb="FF00B050"/>
      <name val="メイリオ"/>
      <family val="3"/>
      <charset val="128"/>
    </font>
    <font>
      <sz val="11"/>
      <color rgb="FFCC0099"/>
      <name val="メイリオ"/>
      <family val="3"/>
      <charset val="128"/>
    </font>
    <font>
      <sz val="11"/>
      <color rgb="FF0066CC"/>
      <name val="メイリオ"/>
      <family val="3"/>
      <charset val="128"/>
    </font>
    <font>
      <sz val="11"/>
      <color rgb="FFFF9900"/>
      <name val="Meiryo UI"/>
      <family val="3"/>
      <charset val="128"/>
    </font>
    <font>
      <sz val="11"/>
      <color rgb="FFFF9900"/>
      <name val="メイリオ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00B0F0"/>
      <name val="メイリオ"/>
      <family val="3"/>
      <charset val="128"/>
    </font>
    <font>
      <sz val="11"/>
      <color rgb="FF7030A0"/>
      <name val="メイリオ"/>
      <family val="3"/>
      <charset val="128"/>
    </font>
    <font>
      <sz val="11"/>
      <color rgb="FF9933FF"/>
      <name val="メイリオ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/>
      <right style="thick">
        <color rgb="FF000080"/>
      </right>
      <top style="thick">
        <color rgb="FF000080"/>
      </top>
      <bottom/>
      <diagonal/>
    </border>
    <border>
      <left style="thick">
        <color rgb="FF000080"/>
      </left>
      <right/>
      <top/>
      <bottom/>
      <diagonal/>
    </border>
    <border>
      <left/>
      <right style="thick">
        <color rgb="FF000080"/>
      </right>
      <top/>
      <bottom/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7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46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4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5" borderId="19" xfId="0" applyFont="1" applyFill="1" applyBorder="1" applyAlignment="1">
      <alignment horizontal="left" vertical="center"/>
    </xf>
    <xf numFmtId="0" fontId="13" fillId="5" borderId="20" xfId="0" applyFont="1" applyFill="1" applyBorder="1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6" borderId="19" xfId="0" applyFill="1" applyBorder="1" applyAlignment="1">
      <alignment horizontal="left" vertical="center"/>
    </xf>
    <xf numFmtId="0" fontId="0" fillId="6" borderId="21" xfId="0" applyFill="1" applyBorder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7" fillId="2" borderId="31" xfId="0" applyFont="1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25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2" borderId="26" xfId="0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2" borderId="31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1" xfId="0" quotePrefix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9" xfId="0" applyFont="1" applyFill="1" applyBorder="1" applyAlignment="1">
      <alignment horizontal="left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3" borderId="19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21" fillId="0" borderId="0" xfId="0" applyFont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49" fontId="14" fillId="2" borderId="27" xfId="0" applyNumberFormat="1" applyFont="1" applyFill="1" applyBorder="1">
      <alignment vertical="center"/>
    </xf>
    <xf numFmtId="49" fontId="14" fillId="2" borderId="28" xfId="0" applyNumberFormat="1" applyFont="1" applyFill="1" applyBorder="1">
      <alignment vertical="center"/>
    </xf>
    <xf numFmtId="49" fontId="14" fillId="2" borderId="29" xfId="0" applyNumberFormat="1" applyFont="1" applyFill="1" applyBorder="1">
      <alignment vertical="center"/>
    </xf>
    <xf numFmtId="49" fontId="14" fillId="2" borderId="22" xfId="0" applyNumberFormat="1" applyFont="1" applyFill="1" applyBorder="1" applyAlignment="1">
      <alignment horizontal="left" vertical="center"/>
    </xf>
    <xf numFmtId="49" fontId="14" fillId="2" borderId="24" xfId="0" applyNumberFormat="1" applyFont="1" applyFill="1" applyBorder="1" applyAlignment="1">
      <alignment horizontal="left" vertical="center"/>
    </xf>
    <xf numFmtId="49" fontId="14" fillId="2" borderId="23" xfId="0" applyNumberFormat="1" applyFont="1" applyFill="1" applyBorder="1" applyAlignment="1">
      <alignment horizontal="left" vertical="center"/>
    </xf>
    <xf numFmtId="49" fontId="14" fillId="2" borderId="25" xfId="0" applyNumberFormat="1" applyFont="1" applyFill="1" applyBorder="1">
      <alignment vertical="center"/>
    </xf>
    <xf numFmtId="49" fontId="14" fillId="2" borderId="30" xfId="0" applyNumberFormat="1" applyFont="1" applyFill="1" applyBorder="1">
      <alignment vertical="center"/>
    </xf>
    <xf numFmtId="49" fontId="14" fillId="2" borderId="26" xfId="0" applyNumberFormat="1" applyFont="1" applyFill="1" applyBorder="1">
      <alignment vertical="center"/>
    </xf>
    <xf numFmtId="0" fontId="20" fillId="2" borderId="32" xfId="0" applyFont="1" applyFill="1" applyBorder="1" applyAlignment="1">
      <alignment horizontal="left" vertical="center"/>
    </xf>
    <xf numFmtId="0" fontId="0" fillId="2" borderId="23" xfId="0" applyFill="1" applyBorder="1">
      <alignment vertical="center"/>
    </xf>
    <xf numFmtId="0" fontId="25" fillId="0" borderId="4" xfId="0" applyFont="1" applyBorder="1" applyAlignment="1"/>
    <xf numFmtId="0" fontId="25" fillId="0" borderId="5" xfId="0" applyFont="1" applyBorder="1" applyAlignment="1"/>
    <xf numFmtId="0" fontId="27" fillId="0" borderId="0" xfId="0" applyFont="1">
      <alignment vertical="center"/>
    </xf>
    <xf numFmtId="0" fontId="31" fillId="0" borderId="0" xfId="0" applyFont="1">
      <alignment vertical="center"/>
    </xf>
    <xf numFmtId="0" fontId="32" fillId="2" borderId="3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3" borderId="19" xfId="0" applyFont="1" applyFill="1" applyBorder="1" applyAlignment="1">
      <alignment horizontal="left" vertical="center"/>
    </xf>
    <xf numFmtId="0" fontId="15" fillId="3" borderId="20" xfId="0" applyFont="1" applyFill="1" applyBorder="1" applyAlignment="1">
      <alignment horizontal="left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66" fontId="14" fillId="0" borderId="16" xfId="0" applyNumberFormat="1" applyFont="1" applyBorder="1" applyAlignment="1">
      <alignment horizontal="left" vertical="center"/>
    </xf>
    <xf numFmtId="166" fontId="14" fillId="0" borderId="17" xfId="0" applyNumberFormat="1" applyFont="1" applyBorder="1" applyAlignment="1">
      <alignment horizontal="left" vertical="center"/>
    </xf>
    <xf numFmtId="166" fontId="14" fillId="0" borderId="18" xfId="0" applyNumberFormat="1" applyFont="1" applyBorder="1" applyAlignment="1">
      <alignment horizontal="left" vertical="center"/>
    </xf>
    <xf numFmtId="166" fontId="14" fillId="0" borderId="1" xfId="0" applyNumberFormat="1" applyFont="1" applyBorder="1" applyAlignment="1">
      <alignment horizontal="left" vertical="center"/>
    </xf>
    <xf numFmtId="166" fontId="14" fillId="0" borderId="2" xfId="0" applyNumberFormat="1" applyFont="1" applyBorder="1" applyAlignment="1">
      <alignment horizontal="left" vertical="center"/>
    </xf>
    <xf numFmtId="166" fontId="14" fillId="0" borderId="3" xfId="0" applyNumberFormat="1" applyFont="1" applyBorder="1" applyAlignment="1">
      <alignment horizontal="left" vertical="center"/>
    </xf>
    <xf numFmtId="49" fontId="14" fillId="0" borderId="16" xfId="0" applyNumberFormat="1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67" fontId="14" fillId="0" borderId="16" xfId="0" applyNumberFormat="1" applyFont="1" applyBorder="1" applyAlignment="1">
      <alignment horizontal="center" vertical="center"/>
    </xf>
    <xf numFmtId="167" fontId="14" fillId="0" borderId="17" xfId="0" applyNumberFormat="1" applyFont="1" applyBorder="1" applyAlignment="1">
      <alignment horizontal="center" vertical="center"/>
    </xf>
    <xf numFmtId="167" fontId="14" fillId="0" borderId="18" xfId="0" applyNumberFormat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7" fontId="14" fillId="0" borderId="2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49" fontId="14" fillId="0" borderId="27" xfId="0" applyNumberFormat="1" applyFont="1" applyBorder="1" applyAlignment="1">
      <alignment horizontal="left" vertical="center"/>
    </xf>
    <xf numFmtId="49" fontId="14" fillId="0" borderId="28" xfId="0" applyNumberFormat="1" applyFont="1" applyBorder="1" applyAlignment="1">
      <alignment horizontal="left" vertical="center"/>
    </xf>
    <xf numFmtId="49" fontId="14" fillId="0" borderId="29" xfId="0" applyNumberFormat="1" applyFont="1" applyBorder="1" applyAlignment="1">
      <alignment horizontal="left" vertical="center"/>
    </xf>
    <xf numFmtId="49" fontId="14" fillId="0" borderId="25" xfId="0" applyNumberFormat="1" applyFont="1" applyBorder="1" applyAlignment="1">
      <alignment horizontal="left" vertical="center"/>
    </xf>
    <xf numFmtId="49" fontId="14" fillId="0" borderId="30" xfId="0" applyNumberFormat="1" applyFont="1" applyBorder="1" applyAlignment="1">
      <alignment horizontal="left" vertical="center"/>
    </xf>
    <xf numFmtId="49" fontId="14" fillId="0" borderId="26" xfId="0" applyNumberFormat="1" applyFont="1" applyBorder="1" applyAlignment="1">
      <alignment horizontal="left" vertical="center"/>
    </xf>
    <xf numFmtId="49" fontId="0" fillId="0" borderId="16" xfId="0" applyNumberFormat="1" applyBorder="1">
      <alignment vertical="center"/>
    </xf>
    <xf numFmtId="49" fontId="0" fillId="0" borderId="17" xfId="0" applyNumberFormat="1" applyBorder="1">
      <alignment vertical="center"/>
    </xf>
    <xf numFmtId="49" fontId="0" fillId="0" borderId="18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49" fontId="17" fillId="0" borderId="16" xfId="0" applyNumberFormat="1" applyFont="1" applyBorder="1">
      <alignment vertical="center"/>
    </xf>
    <xf numFmtId="49" fontId="17" fillId="0" borderId="17" xfId="0" applyNumberFormat="1" applyFont="1" applyBorder="1">
      <alignment vertical="center"/>
    </xf>
    <xf numFmtId="49" fontId="17" fillId="0" borderId="18" xfId="0" applyNumberFormat="1" applyFont="1" applyBorder="1">
      <alignment vertical="center"/>
    </xf>
    <xf numFmtId="49" fontId="17" fillId="0" borderId="1" xfId="0" applyNumberFormat="1" applyFont="1" applyBorder="1">
      <alignment vertical="center"/>
    </xf>
    <xf numFmtId="49" fontId="17" fillId="0" borderId="2" xfId="0" applyNumberFormat="1" applyFont="1" applyBorder="1">
      <alignment vertical="center"/>
    </xf>
    <xf numFmtId="49" fontId="17" fillId="0" borderId="3" xfId="0" applyNumberFormat="1" applyFont="1" applyBorder="1">
      <alignment vertical="center"/>
    </xf>
    <xf numFmtId="166" fontId="14" fillId="0" borderId="4" xfId="0" applyNumberFormat="1" applyFont="1" applyBorder="1" applyAlignment="1">
      <alignment horizontal="left" vertical="center"/>
    </xf>
    <xf numFmtId="166" fontId="14" fillId="0" borderId="0" xfId="0" applyNumberFormat="1" applyFont="1" applyAlignment="1">
      <alignment horizontal="left" vertical="center"/>
    </xf>
    <xf numFmtId="166" fontId="14" fillId="0" borderId="5" xfId="0" applyNumberFormat="1" applyFont="1" applyBorder="1" applyAlignment="1">
      <alignment horizontal="left" vertical="center"/>
    </xf>
    <xf numFmtId="49" fontId="14" fillId="0" borderId="4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167" fontId="14" fillId="0" borderId="4" xfId="0" applyNumberFormat="1" applyFont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7" fontId="14" fillId="0" borderId="5" xfId="0" applyNumberFormat="1" applyFont="1" applyBorder="1" applyAlignment="1">
      <alignment horizontal="center" vertical="center"/>
    </xf>
    <xf numFmtId="49" fontId="0" fillId="0" borderId="4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49" fontId="14" fillId="0" borderId="27" xfId="0" applyNumberFormat="1" applyFont="1" applyBorder="1" applyAlignment="1">
      <alignment horizontal="left" vertical="center" wrapText="1"/>
    </xf>
    <xf numFmtId="49" fontId="14" fillId="0" borderId="28" xfId="0" applyNumberFormat="1" applyFont="1" applyBorder="1" applyAlignment="1">
      <alignment horizontal="left" vertical="center" wrapText="1"/>
    </xf>
    <xf numFmtId="49" fontId="14" fillId="0" borderId="29" xfId="0" applyNumberFormat="1" applyFont="1" applyBorder="1" applyAlignment="1">
      <alignment horizontal="left" vertical="center" wrapText="1"/>
    </xf>
    <xf numFmtId="49" fontId="17" fillId="0" borderId="4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5" xfId="0" applyNumberFormat="1" applyFont="1" applyBorder="1">
      <alignment vertical="center"/>
    </xf>
    <xf numFmtId="49" fontId="14" fillId="0" borderId="22" xfId="0" applyNumberFormat="1" applyFont="1" applyBorder="1" applyAlignment="1">
      <alignment horizontal="left" vertical="center"/>
    </xf>
    <xf numFmtId="49" fontId="14" fillId="0" borderId="24" xfId="0" applyNumberFormat="1" applyFont="1" applyBorder="1" applyAlignment="1">
      <alignment horizontal="left" vertical="center"/>
    </xf>
    <xf numFmtId="49" fontId="14" fillId="0" borderId="23" xfId="0" applyNumberFormat="1" applyFont="1" applyBorder="1" applyAlignment="1">
      <alignment horizontal="left" vertical="center"/>
    </xf>
    <xf numFmtId="49" fontId="14" fillId="0" borderId="25" xfId="0" applyNumberFormat="1" applyFont="1" applyBorder="1" applyAlignment="1">
      <alignment horizontal="left" vertical="center" wrapText="1"/>
    </xf>
    <xf numFmtId="166" fontId="22" fillId="0" borderId="16" xfId="0" applyNumberFormat="1" applyFont="1" applyBorder="1" applyAlignment="1">
      <alignment horizontal="left" vertical="center"/>
    </xf>
    <xf numFmtId="166" fontId="22" fillId="0" borderId="17" xfId="0" applyNumberFormat="1" applyFont="1" applyBorder="1" applyAlignment="1">
      <alignment horizontal="left" vertical="center"/>
    </xf>
    <xf numFmtId="166" fontId="22" fillId="0" borderId="18" xfId="0" applyNumberFormat="1" applyFont="1" applyBorder="1" applyAlignment="1">
      <alignment horizontal="left" vertical="center"/>
    </xf>
    <xf numFmtId="166" fontId="22" fillId="0" borderId="1" xfId="0" applyNumberFormat="1" applyFont="1" applyBorder="1" applyAlignment="1">
      <alignment horizontal="left" vertical="center"/>
    </xf>
    <xf numFmtId="166" fontId="22" fillId="0" borderId="2" xfId="0" applyNumberFormat="1" applyFont="1" applyBorder="1" applyAlignment="1">
      <alignment horizontal="left" vertical="center"/>
    </xf>
    <xf numFmtId="166" fontId="22" fillId="0" borderId="3" xfId="0" applyNumberFormat="1" applyFont="1" applyBorder="1" applyAlignment="1">
      <alignment horizontal="left" vertical="center"/>
    </xf>
    <xf numFmtId="49" fontId="22" fillId="0" borderId="16" xfId="0" applyNumberFormat="1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67" fontId="22" fillId="0" borderId="16" xfId="0" applyNumberFormat="1" applyFont="1" applyBorder="1" applyAlignment="1">
      <alignment horizontal="center" vertical="center"/>
    </xf>
    <xf numFmtId="167" fontId="22" fillId="0" borderId="17" xfId="0" applyNumberFormat="1" applyFont="1" applyBorder="1" applyAlignment="1">
      <alignment horizontal="center" vertical="center"/>
    </xf>
    <xf numFmtId="167" fontId="22" fillId="0" borderId="18" xfId="0" applyNumberFormat="1" applyFon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/>
    </xf>
    <xf numFmtId="167" fontId="22" fillId="0" borderId="2" xfId="0" applyNumberFormat="1" applyFont="1" applyBorder="1" applyAlignment="1">
      <alignment horizontal="center" vertical="center"/>
    </xf>
    <xf numFmtId="167" fontId="22" fillId="0" borderId="3" xfId="0" applyNumberFormat="1" applyFont="1" applyBorder="1" applyAlignment="1">
      <alignment horizontal="center" vertical="center"/>
    </xf>
    <xf numFmtId="166" fontId="18" fillId="0" borderId="16" xfId="0" applyNumberFormat="1" applyFont="1" applyBorder="1" applyAlignment="1">
      <alignment horizontal="left" vertical="center"/>
    </xf>
    <xf numFmtId="166" fontId="18" fillId="0" borderId="17" xfId="0" applyNumberFormat="1" applyFont="1" applyBorder="1" applyAlignment="1">
      <alignment horizontal="left" vertical="center"/>
    </xf>
    <xf numFmtId="166" fontId="18" fillId="0" borderId="18" xfId="0" applyNumberFormat="1" applyFont="1" applyBorder="1" applyAlignment="1">
      <alignment horizontal="left" vertical="center"/>
    </xf>
    <xf numFmtId="166" fontId="18" fillId="0" borderId="4" xfId="0" applyNumberFormat="1" applyFont="1" applyBorder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6" fontId="18" fillId="0" borderId="5" xfId="0" applyNumberFormat="1" applyFont="1" applyBorder="1" applyAlignment="1">
      <alignment horizontal="left" vertical="center"/>
    </xf>
    <xf numFmtId="166" fontId="18" fillId="0" borderId="1" xfId="0" applyNumberFormat="1" applyFont="1" applyBorder="1" applyAlignment="1">
      <alignment horizontal="left" vertical="center"/>
    </xf>
    <xf numFmtId="166" fontId="18" fillId="0" borderId="2" xfId="0" applyNumberFormat="1" applyFont="1" applyBorder="1" applyAlignment="1">
      <alignment horizontal="left" vertical="center"/>
    </xf>
    <xf numFmtId="166" fontId="18" fillId="0" borderId="3" xfId="0" applyNumberFormat="1" applyFont="1" applyBorder="1" applyAlignment="1">
      <alignment horizontal="left" vertical="center"/>
    </xf>
    <xf numFmtId="49" fontId="18" fillId="0" borderId="16" xfId="0" applyNumberFormat="1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49" fontId="18" fillId="0" borderId="4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167" fontId="18" fillId="0" borderId="16" xfId="0" applyNumberFormat="1" applyFont="1" applyBorder="1" applyAlignment="1">
      <alignment horizontal="center" vertical="center"/>
    </xf>
    <xf numFmtId="167" fontId="18" fillId="0" borderId="17" xfId="0" applyNumberFormat="1" applyFont="1" applyBorder="1" applyAlignment="1">
      <alignment horizontal="center" vertical="center"/>
    </xf>
    <xf numFmtId="167" fontId="18" fillId="0" borderId="18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167" fontId="18" fillId="0" borderId="2" xfId="0" applyNumberFormat="1" applyFont="1" applyBorder="1" applyAlignment="1">
      <alignment horizontal="center" vertical="center"/>
    </xf>
    <xf numFmtId="167" fontId="18" fillId="0" borderId="3" xfId="0" applyNumberFormat="1" applyFont="1" applyBorder="1" applyAlignment="1">
      <alignment horizontal="center" vertical="center"/>
    </xf>
    <xf numFmtId="49" fontId="18" fillId="0" borderId="27" xfId="0" applyNumberFormat="1" applyFont="1" applyBorder="1" applyAlignment="1">
      <alignment horizontal="left" vertical="center"/>
    </xf>
    <xf numFmtId="49" fontId="18" fillId="0" borderId="28" xfId="0" applyNumberFormat="1" applyFont="1" applyBorder="1" applyAlignment="1">
      <alignment horizontal="left" vertical="center"/>
    </xf>
    <xf numFmtId="49" fontId="18" fillId="0" borderId="29" xfId="0" applyNumberFormat="1" applyFont="1" applyBorder="1" applyAlignment="1">
      <alignment horizontal="left" vertical="center"/>
    </xf>
    <xf numFmtId="49" fontId="18" fillId="0" borderId="25" xfId="0" applyNumberFormat="1" applyFont="1" applyBorder="1" applyAlignment="1">
      <alignment horizontal="left" vertical="center"/>
    </xf>
    <xf numFmtId="49" fontId="18" fillId="0" borderId="30" xfId="0" applyNumberFormat="1" applyFont="1" applyBorder="1" applyAlignment="1">
      <alignment horizontal="left" vertical="center"/>
    </xf>
    <xf numFmtId="49" fontId="18" fillId="0" borderId="26" xfId="0" applyNumberFormat="1" applyFont="1" applyBorder="1" applyAlignment="1">
      <alignment horizontal="left" vertical="center"/>
    </xf>
    <xf numFmtId="49" fontId="22" fillId="0" borderId="27" xfId="0" applyNumberFormat="1" applyFont="1" applyBorder="1" applyAlignment="1">
      <alignment horizontal="left" vertical="center"/>
    </xf>
    <xf numFmtId="49" fontId="22" fillId="0" borderId="28" xfId="0" applyNumberFormat="1" applyFont="1" applyBorder="1" applyAlignment="1">
      <alignment horizontal="left" vertical="center"/>
    </xf>
    <xf numFmtId="49" fontId="22" fillId="0" borderId="29" xfId="0" applyNumberFormat="1" applyFont="1" applyBorder="1" applyAlignment="1">
      <alignment horizontal="left" vertical="center"/>
    </xf>
    <xf numFmtId="49" fontId="22" fillId="0" borderId="1" xfId="0" applyNumberFormat="1" applyFont="1" applyBorder="1" applyAlignment="1">
      <alignment horizontal="left" vertical="center"/>
    </xf>
    <xf numFmtId="49" fontId="22" fillId="0" borderId="2" xfId="0" applyNumberFormat="1" applyFont="1" applyBorder="1" applyAlignment="1">
      <alignment horizontal="left" vertical="center"/>
    </xf>
    <xf numFmtId="49" fontId="22" fillId="0" borderId="3" xfId="0" applyNumberFormat="1" applyFont="1" applyBorder="1" applyAlignment="1">
      <alignment horizontal="left" vertical="center"/>
    </xf>
    <xf numFmtId="49" fontId="18" fillId="0" borderId="22" xfId="0" applyNumberFormat="1" applyFont="1" applyBorder="1" applyAlignment="1">
      <alignment horizontal="left" vertical="center"/>
    </xf>
    <xf numFmtId="49" fontId="18" fillId="0" borderId="24" xfId="0" applyNumberFormat="1" applyFont="1" applyBorder="1" applyAlignment="1">
      <alignment horizontal="left" vertical="center"/>
    </xf>
    <xf numFmtId="49" fontId="18" fillId="0" borderId="23" xfId="0" applyNumberFormat="1" applyFont="1" applyBorder="1" applyAlignment="1">
      <alignment horizontal="left" vertical="center"/>
    </xf>
    <xf numFmtId="166" fontId="24" fillId="0" borderId="16" xfId="0" applyNumberFormat="1" applyFont="1" applyBorder="1" applyAlignment="1">
      <alignment horizontal="left" vertical="center"/>
    </xf>
    <xf numFmtId="166" fontId="24" fillId="0" borderId="17" xfId="0" applyNumberFormat="1" applyFont="1" applyBorder="1" applyAlignment="1">
      <alignment horizontal="left" vertical="center"/>
    </xf>
    <xf numFmtId="166" fontId="24" fillId="0" borderId="18" xfId="0" applyNumberFormat="1" applyFont="1" applyBorder="1" applyAlignment="1">
      <alignment horizontal="left" vertical="center"/>
    </xf>
    <xf numFmtId="166" fontId="24" fillId="0" borderId="1" xfId="0" applyNumberFormat="1" applyFont="1" applyBorder="1" applyAlignment="1">
      <alignment horizontal="left" vertical="center"/>
    </xf>
    <xf numFmtId="166" fontId="24" fillId="0" borderId="2" xfId="0" applyNumberFormat="1" applyFont="1" applyBorder="1" applyAlignment="1">
      <alignment horizontal="left" vertical="center"/>
    </xf>
    <xf numFmtId="166" fontId="24" fillId="0" borderId="3" xfId="0" applyNumberFormat="1" applyFont="1" applyBorder="1" applyAlignment="1">
      <alignment horizontal="left" vertical="center"/>
    </xf>
    <xf numFmtId="49" fontId="24" fillId="0" borderId="16" xfId="0" applyNumberFormat="1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167" fontId="24" fillId="0" borderId="16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167" fontId="24" fillId="0" borderId="18" xfId="0" applyNumberFormat="1" applyFont="1" applyBorder="1" applyAlignment="1">
      <alignment horizontal="center" vertical="center"/>
    </xf>
    <xf numFmtId="167" fontId="24" fillId="0" borderId="1" xfId="0" applyNumberFormat="1" applyFont="1" applyBorder="1" applyAlignment="1">
      <alignment horizontal="center" vertical="center"/>
    </xf>
    <xf numFmtId="167" fontId="24" fillId="0" borderId="2" xfId="0" applyNumberFormat="1" applyFont="1" applyBorder="1" applyAlignment="1">
      <alignment horizontal="center" vertical="center"/>
    </xf>
    <xf numFmtId="167" fontId="24" fillId="0" borderId="3" xfId="0" applyNumberFormat="1" applyFont="1" applyBorder="1" applyAlignment="1">
      <alignment horizontal="center" vertical="center"/>
    </xf>
    <xf numFmtId="166" fontId="23" fillId="0" borderId="16" xfId="0" applyNumberFormat="1" applyFont="1" applyBorder="1" applyAlignment="1">
      <alignment horizontal="left" vertical="center"/>
    </xf>
    <xf numFmtId="166" fontId="23" fillId="0" borderId="17" xfId="0" applyNumberFormat="1" applyFont="1" applyBorder="1" applyAlignment="1">
      <alignment horizontal="left" vertical="center"/>
    </xf>
    <xf numFmtId="166" fontId="23" fillId="0" borderId="18" xfId="0" applyNumberFormat="1" applyFont="1" applyBorder="1" applyAlignment="1">
      <alignment horizontal="left" vertical="center"/>
    </xf>
    <xf numFmtId="166" fontId="23" fillId="0" borderId="4" xfId="0" applyNumberFormat="1" applyFont="1" applyBorder="1" applyAlignment="1">
      <alignment horizontal="left" vertical="center"/>
    </xf>
    <xf numFmtId="166" fontId="23" fillId="0" borderId="0" xfId="0" applyNumberFormat="1" applyFont="1" applyAlignment="1">
      <alignment horizontal="left" vertical="center"/>
    </xf>
    <xf numFmtId="166" fontId="23" fillId="0" borderId="5" xfId="0" applyNumberFormat="1" applyFont="1" applyBorder="1" applyAlignment="1">
      <alignment horizontal="left" vertical="center"/>
    </xf>
    <xf numFmtId="166" fontId="23" fillId="0" borderId="1" xfId="0" applyNumberFormat="1" applyFont="1" applyBorder="1" applyAlignment="1">
      <alignment horizontal="left" vertical="center"/>
    </xf>
    <xf numFmtId="166" fontId="23" fillId="0" borderId="2" xfId="0" applyNumberFormat="1" applyFont="1" applyBorder="1" applyAlignment="1">
      <alignment horizontal="left" vertical="center"/>
    </xf>
    <xf numFmtId="166" fontId="23" fillId="0" borderId="3" xfId="0" applyNumberFormat="1" applyFont="1" applyBorder="1" applyAlignment="1">
      <alignment horizontal="left" vertical="center"/>
    </xf>
    <xf numFmtId="49" fontId="23" fillId="0" borderId="16" xfId="0" applyNumberFormat="1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49" fontId="23" fillId="0" borderId="4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167" fontId="23" fillId="0" borderId="16" xfId="0" applyNumberFormat="1" applyFont="1" applyBorder="1" applyAlignment="1">
      <alignment horizontal="center" vertical="center"/>
    </xf>
    <xf numFmtId="167" fontId="23" fillId="0" borderId="17" xfId="0" applyNumberFormat="1" applyFont="1" applyBorder="1" applyAlignment="1">
      <alignment horizontal="center" vertical="center"/>
    </xf>
    <xf numFmtId="167" fontId="23" fillId="0" borderId="18" xfId="0" applyNumberFormat="1" applyFont="1" applyBorder="1" applyAlignment="1">
      <alignment horizontal="center" vertical="center"/>
    </xf>
    <xf numFmtId="167" fontId="23" fillId="0" borderId="4" xfId="0" applyNumberFormat="1" applyFont="1" applyBorder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167" fontId="23" fillId="0" borderId="5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/>
    </xf>
    <xf numFmtId="49" fontId="23" fillId="0" borderId="27" xfId="0" applyNumberFormat="1" applyFont="1" applyBorder="1" applyAlignment="1">
      <alignment horizontal="left" vertical="center"/>
    </xf>
    <xf numFmtId="49" fontId="23" fillId="0" borderId="28" xfId="0" applyNumberFormat="1" applyFont="1" applyBorder="1" applyAlignment="1">
      <alignment horizontal="left" vertical="center"/>
    </xf>
    <xf numFmtId="49" fontId="23" fillId="0" borderId="29" xfId="0" applyNumberFormat="1" applyFont="1" applyBorder="1" applyAlignment="1">
      <alignment horizontal="left" vertical="center"/>
    </xf>
    <xf numFmtId="49" fontId="23" fillId="0" borderId="25" xfId="0" applyNumberFormat="1" applyFont="1" applyBorder="1" applyAlignment="1">
      <alignment horizontal="left" vertical="center"/>
    </xf>
    <xf numFmtId="49" fontId="23" fillId="0" borderId="30" xfId="0" applyNumberFormat="1" applyFont="1" applyBorder="1" applyAlignment="1">
      <alignment horizontal="left" vertical="center"/>
    </xf>
    <xf numFmtId="49" fontId="23" fillId="0" borderId="26" xfId="0" applyNumberFormat="1" applyFont="1" applyBorder="1" applyAlignment="1">
      <alignment horizontal="left" vertical="center"/>
    </xf>
    <xf numFmtId="49" fontId="24" fillId="0" borderId="27" xfId="0" applyNumberFormat="1" applyFont="1" applyBorder="1" applyAlignment="1">
      <alignment horizontal="left" vertical="center"/>
    </xf>
    <xf numFmtId="49" fontId="24" fillId="0" borderId="28" xfId="0" applyNumberFormat="1" applyFont="1" applyBorder="1" applyAlignment="1">
      <alignment horizontal="left" vertical="center"/>
    </xf>
    <xf numFmtId="49" fontId="24" fillId="0" borderId="29" xfId="0" applyNumberFormat="1" applyFont="1" applyBorder="1" applyAlignment="1">
      <alignment horizontal="left" vertical="center"/>
    </xf>
    <xf numFmtId="49" fontId="23" fillId="0" borderId="31" xfId="0" applyNumberFormat="1" applyFont="1" applyBorder="1" applyAlignment="1">
      <alignment horizontal="left" vertical="center"/>
    </xf>
    <xf numFmtId="49" fontId="23" fillId="0" borderId="32" xfId="0" applyNumberFormat="1" applyFont="1" applyBorder="1" applyAlignment="1">
      <alignment horizontal="left" vertical="center"/>
    </xf>
    <xf numFmtId="49" fontId="23" fillId="0" borderId="33" xfId="0" applyNumberFormat="1" applyFont="1" applyBorder="1" applyAlignment="1">
      <alignment horizontal="left" vertical="center"/>
    </xf>
    <xf numFmtId="166" fontId="28" fillId="0" borderId="16" xfId="0" applyNumberFormat="1" applyFont="1" applyBorder="1" applyAlignment="1">
      <alignment horizontal="left" vertical="center"/>
    </xf>
    <xf numFmtId="166" fontId="28" fillId="0" borderId="17" xfId="0" applyNumberFormat="1" applyFont="1" applyBorder="1" applyAlignment="1">
      <alignment horizontal="left" vertical="center"/>
    </xf>
    <xf numFmtId="166" fontId="28" fillId="0" borderId="18" xfId="0" applyNumberFormat="1" applyFont="1" applyBorder="1" applyAlignment="1">
      <alignment horizontal="left" vertical="center"/>
    </xf>
    <xf numFmtId="166" fontId="28" fillId="0" borderId="1" xfId="0" applyNumberFormat="1" applyFont="1" applyBorder="1" applyAlignment="1">
      <alignment horizontal="left" vertical="center"/>
    </xf>
    <xf numFmtId="166" fontId="28" fillId="0" borderId="2" xfId="0" applyNumberFormat="1" applyFont="1" applyBorder="1" applyAlignment="1">
      <alignment horizontal="left" vertical="center"/>
    </xf>
    <xf numFmtId="166" fontId="28" fillId="0" borderId="3" xfId="0" applyNumberFormat="1" applyFont="1" applyBorder="1" applyAlignment="1">
      <alignment horizontal="left" vertical="center"/>
    </xf>
    <xf numFmtId="49" fontId="28" fillId="0" borderId="16" xfId="0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167" fontId="28" fillId="0" borderId="16" xfId="0" applyNumberFormat="1" applyFont="1" applyBorder="1" applyAlignment="1">
      <alignment horizontal="center" vertical="center"/>
    </xf>
    <xf numFmtId="167" fontId="28" fillId="0" borderId="17" xfId="0" applyNumberFormat="1" applyFont="1" applyBorder="1" applyAlignment="1">
      <alignment horizontal="center" vertical="center"/>
    </xf>
    <xf numFmtId="167" fontId="28" fillId="0" borderId="18" xfId="0" applyNumberFormat="1" applyFont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167" fontId="28" fillId="0" borderId="2" xfId="0" applyNumberFormat="1" applyFont="1" applyBorder="1" applyAlignment="1">
      <alignment horizontal="center" vertical="center"/>
    </xf>
    <xf numFmtId="167" fontId="28" fillId="0" borderId="3" xfId="0" applyNumberFormat="1" applyFont="1" applyBorder="1" applyAlignment="1">
      <alignment horizontal="center" vertical="center"/>
    </xf>
    <xf numFmtId="166" fontId="26" fillId="0" borderId="16" xfId="0" applyNumberFormat="1" applyFont="1" applyBorder="1" applyAlignment="1">
      <alignment horizontal="left" vertical="center"/>
    </xf>
    <xf numFmtId="166" fontId="26" fillId="0" borderId="17" xfId="0" applyNumberFormat="1" applyFont="1" applyBorder="1" applyAlignment="1">
      <alignment horizontal="left" vertical="center"/>
    </xf>
    <xf numFmtId="166" fontId="26" fillId="0" borderId="18" xfId="0" applyNumberFormat="1" applyFont="1" applyBorder="1" applyAlignment="1">
      <alignment horizontal="left" vertical="center"/>
    </xf>
    <xf numFmtId="166" fontId="26" fillId="0" borderId="1" xfId="0" applyNumberFormat="1" applyFont="1" applyBorder="1" applyAlignment="1">
      <alignment horizontal="left" vertical="center"/>
    </xf>
    <xf numFmtId="166" fontId="26" fillId="0" borderId="2" xfId="0" applyNumberFormat="1" applyFont="1" applyBorder="1" applyAlignment="1">
      <alignment horizontal="left" vertical="center"/>
    </xf>
    <xf numFmtId="166" fontId="26" fillId="0" borderId="3" xfId="0" applyNumberFormat="1" applyFont="1" applyBorder="1" applyAlignment="1">
      <alignment horizontal="left" vertical="center"/>
    </xf>
    <xf numFmtId="49" fontId="26" fillId="0" borderId="16" xfId="0" applyNumberFormat="1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167" fontId="26" fillId="0" borderId="16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167" fontId="26" fillId="0" borderId="18" xfId="0" applyNumberFormat="1" applyFont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167" fontId="26" fillId="0" borderId="2" xfId="0" applyNumberFormat="1" applyFont="1" applyBorder="1" applyAlignment="1">
      <alignment horizontal="center" vertical="center"/>
    </xf>
    <xf numFmtId="167" fontId="26" fillId="0" borderId="3" xfId="0" applyNumberFormat="1" applyFont="1" applyBorder="1" applyAlignment="1">
      <alignment horizontal="center" vertical="center"/>
    </xf>
    <xf numFmtId="49" fontId="25" fillId="0" borderId="16" xfId="0" applyNumberFormat="1" applyFont="1" applyBorder="1">
      <alignment vertical="center"/>
    </xf>
    <xf numFmtId="49" fontId="25" fillId="0" borderId="17" xfId="0" applyNumberFormat="1" applyFont="1" applyBorder="1">
      <alignment vertical="center"/>
    </xf>
    <xf numFmtId="49" fontId="25" fillId="0" borderId="18" xfId="0" applyNumberFormat="1" applyFont="1" applyBorder="1">
      <alignment vertical="center"/>
    </xf>
    <xf numFmtId="49" fontId="25" fillId="0" borderId="1" xfId="0" applyNumberFormat="1" applyFont="1" applyBorder="1">
      <alignment vertical="center"/>
    </xf>
    <xf numFmtId="49" fontId="25" fillId="0" borderId="2" xfId="0" applyNumberFormat="1" applyFont="1" applyBorder="1">
      <alignment vertical="center"/>
    </xf>
    <xf numFmtId="49" fontId="25" fillId="0" borderId="3" xfId="0" applyNumberFormat="1" applyFont="1" applyBorder="1">
      <alignment vertical="center"/>
    </xf>
    <xf numFmtId="49" fontId="26" fillId="0" borderId="27" xfId="0" applyNumberFormat="1" applyFont="1" applyBorder="1" applyAlignment="1">
      <alignment horizontal="left" vertical="center"/>
    </xf>
    <xf numFmtId="49" fontId="26" fillId="0" borderId="28" xfId="0" applyNumberFormat="1" applyFont="1" applyBorder="1" applyAlignment="1">
      <alignment horizontal="left" vertical="center"/>
    </xf>
    <xf numFmtId="49" fontId="26" fillId="0" borderId="29" xfId="0" applyNumberFormat="1" applyFont="1" applyBorder="1" applyAlignment="1">
      <alignment horizontal="left" vertical="center"/>
    </xf>
    <xf numFmtId="49" fontId="26" fillId="0" borderId="25" xfId="0" applyNumberFormat="1" applyFont="1" applyBorder="1" applyAlignment="1">
      <alignment horizontal="left" vertical="center"/>
    </xf>
    <xf numFmtId="49" fontId="26" fillId="0" borderId="30" xfId="0" applyNumberFormat="1" applyFont="1" applyBorder="1" applyAlignment="1">
      <alignment horizontal="left" vertical="center"/>
    </xf>
    <xf numFmtId="49" fontId="26" fillId="0" borderId="26" xfId="0" applyNumberFormat="1" applyFont="1" applyBorder="1" applyAlignment="1">
      <alignment horizontal="left" vertical="center"/>
    </xf>
    <xf numFmtId="49" fontId="28" fillId="0" borderId="27" xfId="0" applyNumberFormat="1" applyFont="1" applyBorder="1" applyAlignment="1">
      <alignment horizontal="left" vertical="center"/>
    </xf>
    <xf numFmtId="49" fontId="28" fillId="0" borderId="28" xfId="0" applyNumberFormat="1" applyFont="1" applyBorder="1" applyAlignment="1">
      <alignment horizontal="left" vertical="center"/>
    </xf>
    <xf numFmtId="49" fontId="28" fillId="0" borderId="29" xfId="0" applyNumberFormat="1" applyFont="1" applyBorder="1" applyAlignment="1">
      <alignment horizontal="left" vertical="center"/>
    </xf>
    <xf numFmtId="166" fontId="30" fillId="0" borderId="16" xfId="0" applyNumberFormat="1" applyFont="1" applyBorder="1" applyAlignment="1">
      <alignment horizontal="left" vertical="center"/>
    </xf>
    <xf numFmtId="166" fontId="30" fillId="0" borderId="17" xfId="0" applyNumberFormat="1" applyFont="1" applyBorder="1" applyAlignment="1">
      <alignment horizontal="left" vertical="center"/>
    </xf>
    <xf numFmtId="166" fontId="30" fillId="0" borderId="18" xfId="0" applyNumberFormat="1" applyFont="1" applyBorder="1" applyAlignment="1">
      <alignment horizontal="left" vertical="center"/>
    </xf>
    <xf numFmtId="166" fontId="30" fillId="0" borderId="1" xfId="0" applyNumberFormat="1" applyFont="1" applyBorder="1" applyAlignment="1">
      <alignment horizontal="left" vertical="center"/>
    </xf>
    <xf numFmtId="166" fontId="30" fillId="0" borderId="2" xfId="0" applyNumberFormat="1" applyFont="1" applyBorder="1" applyAlignment="1">
      <alignment horizontal="left" vertical="center"/>
    </xf>
    <xf numFmtId="166" fontId="30" fillId="0" borderId="3" xfId="0" applyNumberFormat="1" applyFont="1" applyBorder="1" applyAlignment="1">
      <alignment horizontal="left" vertical="center"/>
    </xf>
    <xf numFmtId="49" fontId="30" fillId="0" borderId="16" xfId="0" applyNumberFormat="1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0" fontId="30" fillId="0" borderId="18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167" fontId="30" fillId="0" borderId="16" xfId="0" applyNumberFormat="1" applyFont="1" applyBorder="1" applyAlignment="1">
      <alignment horizontal="center" vertical="center"/>
    </xf>
    <xf numFmtId="167" fontId="30" fillId="0" borderId="17" xfId="0" applyNumberFormat="1" applyFont="1" applyBorder="1" applyAlignment="1">
      <alignment horizontal="center" vertical="center"/>
    </xf>
    <xf numFmtId="167" fontId="30" fillId="0" borderId="18" xfId="0" applyNumberFormat="1" applyFont="1" applyBorder="1" applyAlignment="1">
      <alignment horizontal="center" vertical="center"/>
    </xf>
    <xf numFmtId="167" fontId="30" fillId="0" borderId="1" xfId="0" applyNumberFormat="1" applyFont="1" applyBorder="1" applyAlignment="1">
      <alignment horizontal="center" vertical="center"/>
    </xf>
    <xf numFmtId="167" fontId="30" fillId="0" borderId="2" xfId="0" applyNumberFormat="1" applyFont="1" applyBorder="1" applyAlignment="1">
      <alignment horizontal="center" vertical="center"/>
    </xf>
    <xf numFmtId="167" fontId="30" fillId="0" borderId="3" xfId="0" applyNumberFormat="1" applyFont="1" applyBorder="1" applyAlignment="1">
      <alignment horizontal="center" vertical="center"/>
    </xf>
    <xf numFmtId="166" fontId="29" fillId="0" borderId="16" xfId="0" applyNumberFormat="1" applyFont="1" applyBorder="1" applyAlignment="1">
      <alignment horizontal="left" vertical="center"/>
    </xf>
    <xf numFmtId="166" fontId="29" fillId="0" borderId="17" xfId="0" applyNumberFormat="1" applyFont="1" applyBorder="1" applyAlignment="1">
      <alignment horizontal="left" vertical="center"/>
    </xf>
    <xf numFmtId="166" fontId="29" fillId="0" borderId="18" xfId="0" applyNumberFormat="1" applyFont="1" applyBorder="1" applyAlignment="1">
      <alignment horizontal="left" vertical="center"/>
    </xf>
    <xf numFmtId="166" fontId="29" fillId="0" borderId="1" xfId="0" applyNumberFormat="1" applyFont="1" applyBorder="1" applyAlignment="1">
      <alignment horizontal="left" vertical="center"/>
    </xf>
    <xf numFmtId="166" fontId="29" fillId="0" borderId="2" xfId="0" applyNumberFormat="1" applyFont="1" applyBorder="1" applyAlignment="1">
      <alignment horizontal="left" vertical="center"/>
    </xf>
    <xf numFmtId="166" fontId="29" fillId="0" borderId="3" xfId="0" applyNumberFormat="1" applyFont="1" applyBorder="1" applyAlignment="1">
      <alignment horizontal="left" vertical="center"/>
    </xf>
    <xf numFmtId="49" fontId="29" fillId="0" borderId="16" xfId="0" applyNumberFormat="1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167" fontId="29" fillId="0" borderId="16" xfId="0" applyNumberFormat="1" applyFont="1" applyBorder="1" applyAlignment="1">
      <alignment horizontal="center" vertical="center"/>
    </xf>
    <xf numFmtId="167" fontId="29" fillId="0" borderId="17" xfId="0" applyNumberFormat="1" applyFont="1" applyBorder="1" applyAlignment="1">
      <alignment horizontal="center" vertical="center"/>
    </xf>
    <xf numFmtId="167" fontId="29" fillId="0" borderId="18" xfId="0" applyNumberFormat="1" applyFont="1" applyBorder="1" applyAlignment="1">
      <alignment horizontal="center" vertical="center"/>
    </xf>
    <xf numFmtId="167" fontId="29" fillId="0" borderId="1" xfId="0" applyNumberFormat="1" applyFont="1" applyBorder="1" applyAlignment="1">
      <alignment horizontal="center" vertical="center"/>
    </xf>
    <xf numFmtId="167" fontId="29" fillId="0" borderId="2" xfId="0" applyNumberFormat="1" applyFont="1" applyBorder="1" applyAlignment="1">
      <alignment horizontal="center" vertical="center"/>
    </xf>
    <xf numFmtId="167" fontId="29" fillId="0" borderId="3" xfId="0" applyNumberFormat="1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left" vertical="center"/>
    </xf>
    <xf numFmtId="49" fontId="29" fillId="0" borderId="28" xfId="0" applyNumberFormat="1" applyFont="1" applyBorder="1" applyAlignment="1">
      <alignment horizontal="left" vertical="center"/>
    </xf>
    <xf numFmtId="49" fontId="29" fillId="0" borderId="29" xfId="0" applyNumberFormat="1" applyFont="1" applyBorder="1" applyAlignment="1">
      <alignment horizontal="left" vertical="center"/>
    </xf>
    <xf numFmtId="49" fontId="29" fillId="0" borderId="25" xfId="0" applyNumberFormat="1" applyFont="1" applyBorder="1" applyAlignment="1">
      <alignment horizontal="left" vertical="center"/>
    </xf>
    <xf numFmtId="49" fontId="29" fillId="0" borderId="30" xfId="0" applyNumberFormat="1" applyFont="1" applyBorder="1" applyAlignment="1">
      <alignment horizontal="left" vertical="center"/>
    </xf>
    <xf numFmtId="49" fontId="29" fillId="0" borderId="26" xfId="0" applyNumberFormat="1" applyFont="1" applyBorder="1" applyAlignment="1">
      <alignment horizontal="left" vertical="center"/>
    </xf>
    <xf numFmtId="49" fontId="30" fillId="0" borderId="27" xfId="0" applyNumberFormat="1" applyFont="1" applyBorder="1" applyAlignment="1">
      <alignment horizontal="left" vertical="center"/>
    </xf>
    <xf numFmtId="49" fontId="30" fillId="0" borderId="28" xfId="0" applyNumberFormat="1" applyFont="1" applyBorder="1" applyAlignment="1">
      <alignment horizontal="left" vertical="center"/>
    </xf>
    <xf numFmtId="49" fontId="30" fillId="0" borderId="29" xfId="0" applyNumberFormat="1" applyFont="1" applyBorder="1" applyAlignment="1">
      <alignment horizontal="left" vertical="center"/>
    </xf>
    <xf numFmtId="49" fontId="30" fillId="0" borderId="25" xfId="0" applyNumberFormat="1" applyFont="1" applyBorder="1" applyAlignment="1">
      <alignment horizontal="left" vertical="center"/>
    </xf>
    <xf numFmtId="49" fontId="30" fillId="0" borderId="30" xfId="0" applyNumberFormat="1" applyFont="1" applyBorder="1" applyAlignment="1">
      <alignment horizontal="left" vertical="center"/>
    </xf>
    <xf numFmtId="49" fontId="30" fillId="0" borderId="26" xfId="0" applyNumberFormat="1" applyFont="1" applyBorder="1" applyAlignment="1">
      <alignment horizontal="left" vertical="center"/>
    </xf>
    <xf numFmtId="0" fontId="19" fillId="4" borderId="16" xfId="0" applyFont="1" applyFill="1" applyBorder="1" applyAlignment="1">
      <alignment horizontal="left" vertical="center"/>
    </xf>
    <xf numFmtId="0" fontId="19" fillId="4" borderId="17" xfId="0" applyFont="1" applyFill="1" applyBorder="1" applyAlignment="1">
      <alignment horizontal="left" vertical="center"/>
    </xf>
    <xf numFmtId="0" fontId="19" fillId="4" borderId="18" xfId="0" applyFont="1" applyFill="1" applyBorder="1" applyAlignment="1">
      <alignment horizontal="left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14" fontId="0" fillId="0" borderId="22" xfId="0" quotePrefix="1" applyNumberFormat="1" applyBorder="1" applyAlignment="1">
      <alignment horizontal="left" vertical="center" wrapText="1"/>
    </xf>
    <xf numFmtId="14" fontId="0" fillId="0" borderId="24" xfId="0" quotePrefix="1" applyNumberFormat="1" applyBorder="1" applyAlignment="1">
      <alignment horizontal="left" vertical="center" wrapText="1"/>
    </xf>
    <xf numFmtId="14" fontId="0" fillId="0" borderId="23" xfId="0" quotePrefix="1" applyNumberFormat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14" fontId="0" fillId="0" borderId="25" xfId="0" applyNumberFormat="1" applyBorder="1" applyAlignment="1">
      <alignment horizontal="left" vertical="center"/>
    </xf>
    <xf numFmtId="14" fontId="0" fillId="0" borderId="30" xfId="0" applyNumberFormat="1" applyBorder="1" applyAlignment="1">
      <alignment horizontal="left" vertical="center"/>
    </xf>
    <xf numFmtId="14" fontId="0" fillId="0" borderId="26" xfId="0" applyNumberFormat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</cellXfs>
  <cellStyles count="7">
    <cellStyle name="Comma" xfId="1" hidden="1" xr:uid="{00000000-0005-0000-0000-000000000000}"/>
    <cellStyle name="Comma [0]" xfId="2" hidden="1" xr:uid="{00000000-0005-0000-0000-000001000000}"/>
    <cellStyle name="Currency" xfId="3" hidden="1" xr:uid="{00000000-0005-0000-0000-000002000000}"/>
    <cellStyle name="Currency [0]" xfId="4" hidden="1" xr:uid="{00000000-0005-0000-0000-000003000000}"/>
    <cellStyle name="Normal" xfId="0" builtinId="0" customBuiltin="1"/>
    <cellStyle name="Normal 2" xfId="6" xr:uid="{00000000-0005-0000-0000-000005000000}"/>
    <cellStyle name="Percent" xfId="5" hidden="1" xr:uid="{00000000-0005-0000-0000-000006000000}"/>
  </cellStyles>
  <dxfs count="0"/>
  <tableStyles count="0" defaultTableStyle="TableStyleMedium2" defaultPivotStyle="PivotStyleLight16"/>
  <colors>
    <mruColors>
      <color rgb="FF9933FF"/>
      <color rgb="FFFF9900"/>
      <color rgb="FFCC0099"/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53611</xdr:colOff>
      <xdr:row>11</xdr:row>
      <xdr:rowOff>185868</xdr:rowOff>
    </xdr:from>
    <xdr:to>
      <xdr:col>27</xdr:col>
      <xdr:colOff>95250</xdr:colOff>
      <xdr:row>14</xdr:row>
      <xdr:rowOff>182227</xdr:rowOff>
    </xdr:to>
    <xdr:sp macro="" textlink="">
      <xdr:nvSpPr>
        <xdr:cNvPr id="5" name="正方形/長方形 6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63611" y="5067431"/>
          <a:ext cx="2661014" cy="567859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r>
            <a:rPr kumimoji="1" lang="en-US" altLang="ja-JP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Bảng quan hệ nhân viên chứng chỉ tiếng Nhật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>
            <a:defRPr/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(employees_certifications)</a:t>
          </a:r>
          <a:endParaRPr lang="ja-JP" altLang="en-US" sz="1000" b="0" i="0">
            <a:solidFill>
              <a:sysClr val="windowText" lastClr="00000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53579</xdr:colOff>
      <xdr:row>14</xdr:row>
      <xdr:rowOff>176272</xdr:rowOff>
    </xdr:from>
    <xdr:to>
      <xdr:col>27</xdr:col>
      <xdr:colOff>89298</xdr:colOff>
      <xdr:row>17</xdr:row>
      <xdr:rowOff>173265</xdr:rowOff>
    </xdr:to>
    <xdr:sp macro="" textlink="">
      <xdr:nvSpPr>
        <xdr:cNvPr id="6" name="正方形/長方形 7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63579" y="2957572"/>
          <a:ext cx="2655094" cy="568493"/>
        </a:xfrm>
        <a:prstGeom prst="rect">
          <a:avLst/>
        </a:prstGeom>
        <a:solidFill>
          <a:srgbClr val="FFFFFF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r>
            <a:rPr lang="en-US" sz="1000" b="0" i="0" baseline="0">
              <a:solidFill>
                <a:schemeClr val="tx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employee_certification_id (PK)</a:t>
          </a:r>
        </a:p>
        <a:p>
          <a:r>
            <a:rPr lang="en-US" sz="1000" b="0" i="0" baseline="0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employee_id (FK)</a:t>
          </a:r>
        </a:p>
        <a:p>
          <a:r>
            <a:rPr lang="en-US" sz="1000" b="0" i="0" baseline="0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certification_id (FK)</a:t>
          </a:r>
        </a:p>
      </xdr:txBody>
    </xdr:sp>
    <xdr:clientData/>
  </xdr:twoCellAnchor>
  <xdr:twoCellAnchor>
    <xdr:from>
      <xdr:col>31</xdr:col>
      <xdr:colOff>120937</xdr:colOff>
      <xdr:row>11</xdr:row>
      <xdr:rowOff>183698</xdr:rowOff>
    </xdr:from>
    <xdr:to>
      <xdr:col>40</xdr:col>
      <xdr:colOff>107867</xdr:colOff>
      <xdr:row>14</xdr:row>
      <xdr:rowOff>183443</xdr:rowOff>
    </xdr:to>
    <xdr:sp macro="" textlink="">
      <xdr:nvSpPr>
        <xdr:cNvPr id="8" name="正方形/長方形 6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7415966" y="5058257"/>
          <a:ext cx="2104842" cy="571245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r>
            <a:rPr kumimoji="1" lang="en-US" altLang="ja-JP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Bảng thông tin nhân viên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>
            <a:defRPr/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(employees)</a:t>
          </a:r>
          <a:endParaRPr lang="ja-JP" altLang="en-US" sz="1000" b="0" i="0">
            <a:solidFill>
              <a:sysClr val="windowText" lastClr="00000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120936</xdr:colOff>
      <xdr:row>14</xdr:row>
      <xdr:rowOff>183441</xdr:rowOff>
    </xdr:from>
    <xdr:to>
      <xdr:col>40</xdr:col>
      <xdr:colOff>107866</xdr:colOff>
      <xdr:row>18</xdr:row>
      <xdr:rowOff>173270</xdr:rowOff>
    </xdr:to>
    <xdr:sp macro="" textlink="">
      <xdr:nvSpPr>
        <xdr:cNvPr id="9" name="正方形/長方形 7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7616378" y="5634672"/>
          <a:ext cx="2163026" cy="751829"/>
        </a:xfrm>
        <a:prstGeom prst="rect">
          <a:avLst/>
        </a:prstGeom>
        <a:solidFill>
          <a:srgbClr val="FFFFFF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pPr>
            <a:defRPr/>
          </a:pPr>
          <a:r>
            <a:rPr lang="en-US" sz="1000" b="0" i="0" u="non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employee_id (PK)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u="non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department_id (FK)</a:t>
          </a:r>
        </a:p>
        <a:p>
          <a:pPr>
            <a:defRPr/>
          </a:pPr>
          <a:endParaRPr lang="en-US" sz="1000" b="0" i="0" u="non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Meiryo UI"/>
          </a:endParaRPr>
        </a:p>
      </xdr:txBody>
    </xdr:sp>
    <xdr:clientData/>
  </xdr:twoCellAnchor>
  <xdr:twoCellAnchor>
    <xdr:from>
      <xdr:col>17</xdr:col>
      <xdr:colOff>164367</xdr:colOff>
      <xdr:row>22</xdr:row>
      <xdr:rowOff>165965</xdr:rowOff>
    </xdr:from>
    <xdr:to>
      <xdr:col>26</xdr:col>
      <xdr:colOff>146054</xdr:colOff>
      <xdr:row>25</xdr:row>
      <xdr:rowOff>159831</xdr:rowOff>
    </xdr:to>
    <xdr:sp macro="" textlink="">
      <xdr:nvSpPr>
        <xdr:cNvPr id="11" name="正方形/長方形 6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184574" y="7142206"/>
          <a:ext cx="2110032" cy="565366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r>
            <a:rPr kumimoji="1" lang="en-US" altLang="ja-JP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Bảng thông tin chứng chỉ tiếng Nhật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>
            <a:defRPr/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(certifications)</a:t>
          </a:r>
          <a:endParaRPr lang="ja-JP" altLang="en-US" sz="1000" b="0" i="0">
            <a:solidFill>
              <a:sysClr val="windowText" lastClr="00000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164367</xdr:colOff>
      <xdr:row>25</xdr:row>
      <xdr:rowOff>163966</xdr:rowOff>
    </xdr:from>
    <xdr:to>
      <xdr:col>26</xdr:col>
      <xdr:colOff>146054</xdr:colOff>
      <xdr:row>27</xdr:row>
      <xdr:rowOff>180648</xdr:rowOff>
    </xdr:to>
    <xdr:sp macro="" textlink="">
      <xdr:nvSpPr>
        <xdr:cNvPr id="12" name="正方形/長方形 7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184574" y="7711707"/>
          <a:ext cx="2110032" cy="397682"/>
        </a:xfrm>
        <a:prstGeom prst="rect">
          <a:avLst/>
        </a:prstGeom>
        <a:solidFill>
          <a:srgbClr val="FFFFFF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r>
            <a:rPr lang="en-US" sz="1000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certification_id (PK)</a:t>
          </a:r>
        </a:p>
      </xdr:txBody>
    </xdr:sp>
    <xdr:clientData/>
  </xdr:twoCellAnchor>
  <xdr:twoCellAnchor>
    <xdr:from>
      <xdr:col>43</xdr:col>
      <xdr:colOff>162272</xdr:colOff>
      <xdr:row>14</xdr:row>
      <xdr:rowOff>128244</xdr:rowOff>
    </xdr:from>
    <xdr:to>
      <xdr:col>44</xdr:col>
      <xdr:colOff>161707</xdr:colOff>
      <xdr:row>15</xdr:row>
      <xdr:rowOff>135777</xdr:rowOff>
    </xdr:to>
    <xdr:sp macro="" textlink="">
      <xdr:nvSpPr>
        <xdr:cNvPr id="18" name="テキスト ボックス 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10401647" y="5581307"/>
          <a:ext cx="237560" cy="1980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n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190861</xdr:colOff>
      <xdr:row>14</xdr:row>
      <xdr:rowOff>132781</xdr:rowOff>
    </xdr:from>
    <xdr:to>
      <xdr:col>41</xdr:col>
      <xdr:colOff>190299</xdr:colOff>
      <xdr:row>15</xdr:row>
      <xdr:rowOff>132698</xdr:rowOff>
    </xdr:to>
    <xdr:sp macro="" textlink="">
      <xdr:nvSpPr>
        <xdr:cNvPr id="19" name="テキスト ボックス 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9715861" y="5585844"/>
          <a:ext cx="237563" cy="19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102591</xdr:colOff>
      <xdr:row>17</xdr:row>
      <xdr:rowOff>173259</xdr:rowOff>
    </xdr:from>
    <xdr:to>
      <xdr:col>22</xdr:col>
      <xdr:colOff>102591</xdr:colOff>
      <xdr:row>22</xdr:row>
      <xdr:rowOff>174094</xdr:rowOff>
    </xdr:to>
    <xdr:cxnSp macro="">
      <xdr:nvCxnSpPr>
        <xdr:cNvPr id="54" name="Straight Connector 22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V="1">
          <a:off x="5279709" y="6190818"/>
          <a:ext cx="0" cy="9533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133107</xdr:colOff>
      <xdr:row>15</xdr:row>
      <xdr:rowOff>106503</xdr:rowOff>
    </xdr:from>
    <xdr:to>
      <xdr:col>31</xdr:col>
      <xdr:colOff>116109</xdr:colOff>
      <xdr:row>16</xdr:row>
      <xdr:rowOff>103033</xdr:rowOff>
    </xdr:to>
    <xdr:sp macro="" textlink="">
      <xdr:nvSpPr>
        <xdr:cNvPr id="60" name="テキスト ボックス 8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7192813" y="5743062"/>
          <a:ext cx="218325" cy="187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113118</xdr:colOff>
      <xdr:row>15</xdr:row>
      <xdr:rowOff>116758</xdr:rowOff>
    </xdr:from>
    <xdr:to>
      <xdr:col>28</xdr:col>
      <xdr:colOff>193855</xdr:colOff>
      <xdr:row>16</xdr:row>
      <xdr:rowOff>185219</xdr:rowOff>
    </xdr:to>
    <xdr:sp macro="" textlink="">
      <xdr:nvSpPr>
        <xdr:cNvPr id="61" name="テキスト ボックス 2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6542493" y="3088558"/>
          <a:ext cx="318862" cy="258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n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129615</xdr:colOff>
      <xdr:row>21</xdr:row>
      <xdr:rowOff>76636</xdr:rowOff>
    </xdr:from>
    <xdr:to>
      <xdr:col>23</xdr:col>
      <xdr:colOff>112617</xdr:colOff>
      <xdr:row>22</xdr:row>
      <xdr:rowOff>73166</xdr:rowOff>
    </xdr:to>
    <xdr:sp macro="" textlink="">
      <xdr:nvSpPr>
        <xdr:cNvPr id="62" name="テキスト ボックス 8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5306733" y="6856195"/>
          <a:ext cx="218325" cy="187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150970</xdr:colOff>
      <xdr:row>18</xdr:row>
      <xdr:rowOff>143048</xdr:rowOff>
    </xdr:from>
    <xdr:to>
      <xdr:col>23</xdr:col>
      <xdr:colOff>152079</xdr:colOff>
      <xdr:row>19</xdr:row>
      <xdr:rowOff>139577</xdr:rowOff>
    </xdr:to>
    <xdr:sp macro="" textlink="">
      <xdr:nvSpPr>
        <xdr:cNvPr id="63" name="テキスト ボックス 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5328088" y="6351107"/>
          <a:ext cx="236432" cy="187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n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100333</xdr:colOff>
      <xdr:row>16</xdr:row>
      <xdr:rowOff>114640</xdr:rowOff>
    </xdr:from>
    <xdr:to>
      <xdr:col>31</xdr:col>
      <xdr:colOff>133297</xdr:colOff>
      <xdr:row>16</xdr:row>
      <xdr:rowOff>114640</xdr:rowOff>
    </xdr:to>
    <xdr:cxnSp macro="">
      <xdr:nvCxnSpPr>
        <xdr:cNvPr id="67" name="Straight Connector 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>
          <a:off x="6454068" y="5941699"/>
          <a:ext cx="9742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123264</xdr:colOff>
      <xdr:row>15</xdr:row>
      <xdr:rowOff>122833</xdr:rowOff>
    </xdr:from>
    <xdr:to>
      <xdr:col>44</xdr:col>
      <xdr:colOff>156228</xdr:colOff>
      <xdr:row>15</xdr:row>
      <xdr:rowOff>122833</xdr:rowOff>
    </xdr:to>
    <xdr:cxnSp macro="">
      <xdr:nvCxnSpPr>
        <xdr:cNvPr id="46" name="Straight Connector 7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>
          <a:off x="9794802" y="5764564"/>
          <a:ext cx="100011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123264</xdr:colOff>
      <xdr:row>15</xdr:row>
      <xdr:rowOff>145677</xdr:rowOff>
    </xdr:from>
    <xdr:to>
      <xdr:col>41</xdr:col>
      <xdr:colOff>106265</xdr:colOff>
      <xdr:row>16</xdr:row>
      <xdr:rowOff>142207</xdr:rowOff>
    </xdr:to>
    <xdr:sp macro="" textlink="">
      <xdr:nvSpPr>
        <xdr:cNvPr id="39" name="テキスト ボックス 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9536205" y="5782236"/>
          <a:ext cx="218325" cy="187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78440</xdr:colOff>
      <xdr:row>19</xdr:row>
      <xdr:rowOff>134470</xdr:rowOff>
    </xdr:from>
    <xdr:to>
      <xdr:col>44</xdr:col>
      <xdr:colOff>79549</xdr:colOff>
      <xdr:row>20</xdr:row>
      <xdr:rowOff>130999</xdr:rowOff>
    </xdr:to>
    <xdr:sp macro="" textlink="">
      <xdr:nvSpPr>
        <xdr:cNvPr id="77" name="テキスト ボックス 2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10197352" y="6533029"/>
          <a:ext cx="236432" cy="187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rtlCol="0" anchor="t"/>
        <a:lstStyle/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44</xdr:col>
      <xdr:colOff>146539</xdr:colOff>
      <xdr:row>11</xdr:row>
      <xdr:rowOff>183173</xdr:rowOff>
    </xdr:from>
    <xdr:to>
      <xdr:col>53</xdr:col>
      <xdr:colOff>132587</xdr:colOff>
      <xdr:row>14</xdr:row>
      <xdr:rowOff>182917</xdr:rowOff>
    </xdr:to>
    <xdr:sp macro="" textlink="">
      <xdr:nvSpPr>
        <xdr:cNvPr id="20" name="正方形/長方形 24">
          <a:extLst>
            <a:ext uri="{FF2B5EF4-FFF2-40B4-BE49-F238E27FC236}">
              <a16:creationId xmlns:a16="http://schemas.microsoft.com/office/drawing/2014/main" id="{2E459F12-68DF-483A-ABA0-6B365E131B08}"/>
            </a:ext>
          </a:extLst>
        </xdr:cNvPr>
        <xdr:cNvSpPr/>
      </xdr:nvSpPr>
      <xdr:spPr>
        <a:xfrm>
          <a:off x="10785231" y="5062904"/>
          <a:ext cx="2162144" cy="571244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pPr>
            <a:defRPr/>
          </a:pPr>
          <a:r>
            <a:rPr kumimoji="1" lang="en-US" altLang="ja-JP" sz="1100" b="0" i="0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Bảng thông tin phòng ban</a:t>
          </a:r>
        </a:p>
        <a:p>
          <a:pPr>
            <a:defRPr/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(departments)</a:t>
          </a:r>
          <a:endParaRPr kumimoji="1" lang="ja-JP" altLang="en-US" sz="100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44</xdr:col>
      <xdr:colOff>146539</xdr:colOff>
      <xdr:row>14</xdr:row>
      <xdr:rowOff>182917</xdr:rowOff>
    </xdr:from>
    <xdr:to>
      <xdr:col>53</xdr:col>
      <xdr:colOff>132587</xdr:colOff>
      <xdr:row>17</xdr:row>
      <xdr:rowOff>166571</xdr:rowOff>
    </xdr:to>
    <xdr:sp macro="" textlink="">
      <xdr:nvSpPr>
        <xdr:cNvPr id="21" name="正方形/長方形 25">
          <a:extLst>
            <a:ext uri="{FF2B5EF4-FFF2-40B4-BE49-F238E27FC236}">
              <a16:creationId xmlns:a16="http://schemas.microsoft.com/office/drawing/2014/main" id="{EBFA922A-72BB-4C3F-8DDF-16FD502127AE}"/>
            </a:ext>
          </a:extLst>
        </xdr:cNvPr>
        <xdr:cNvSpPr/>
      </xdr:nvSpPr>
      <xdr:spPr>
        <a:xfrm>
          <a:off x="10785231" y="5634148"/>
          <a:ext cx="2162144" cy="555154"/>
        </a:xfrm>
        <a:prstGeom prst="rect">
          <a:avLst/>
        </a:prstGeom>
        <a:solidFill>
          <a:srgbClr val="FFFFFF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none" lIns="36000" tIns="0" rIns="36000" bIns="0" anchor="ctr"/>
        <a:lstStyle/>
        <a:p>
          <a:pPr>
            <a:defRPr/>
          </a:pPr>
          <a:endParaRPr lang="en-US" sz="1000" b="0" i="0" u="none" baseline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Meiryo UI"/>
          </a:endParaRPr>
        </a:p>
        <a:p>
          <a:pPr>
            <a:defRPr/>
          </a:pPr>
          <a:r>
            <a:rPr lang="en-US" sz="1000" b="0" i="0" u="none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department_id (PK)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8_Gurunavi/01_luvinaSvn/60_reference/61_Guru%20core%20business/Jima/Design/VN/01_&#20154;&#21729;&#31649;&#29702;&#34920;/JIMA_JK-G003_&#20154;&#21729;&#24773;&#22577;&#26356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Bia"/>
      <sheetName val="2.Revision history"/>
      <sheetName val="3.List tai lieu tham chieu"/>
      <sheetName val="4.Khái quát chức năng MH"/>
      <sheetName val="5.Layout MH"/>
      <sheetName val="6.DN hang muc"/>
      <sheetName val="7.Xử lý event"/>
      <sheetName val="8.DN require check MH"/>
      <sheetName val="9.Format CSV, Excel"/>
      <sheetName val="10.SQL Input"/>
      <sheetName val="11.SQL Output"/>
      <sheetName val="12.Others"/>
      <sheetName val="blank"/>
      <sheetName val="t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G6">
            <v>0</v>
          </cell>
        </row>
        <row r="7">
          <cell r="G7" t="str">
            <v>●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304"/>
  <sheetViews>
    <sheetView tabSelected="1" view="pageBreakPreview" zoomScaleNormal="75" zoomScaleSheetLayoutView="100" workbookViewId="0">
      <selection sqref="A1:J1"/>
    </sheetView>
  </sheetViews>
  <sheetFormatPr defaultColWidth="8.88671875" defaultRowHeight="13.5"/>
  <cols>
    <col min="1" max="63" width="2.77734375" style="1" customWidth="1"/>
    <col min="64" max="64" width="8.88671875" style="1" customWidth="1"/>
    <col min="65" max="16384" width="8.88671875" style="1"/>
  </cols>
  <sheetData>
    <row r="1" spans="1:63" customFormat="1" ht="24.95" customHeight="1">
      <c r="A1" s="98" t="s">
        <v>79</v>
      </c>
      <c r="B1" s="99"/>
      <c r="C1" s="99"/>
      <c r="D1" s="99"/>
      <c r="E1" s="99"/>
      <c r="F1" s="99"/>
      <c r="G1" s="99"/>
      <c r="H1" s="99"/>
      <c r="I1" s="99"/>
      <c r="J1" s="100"/>
      <c r="K1" s="98" t="s">
        <v>80</v>
      </c>
      <c r="L1" s="99"/>
      <c r="M1" s="99"/>
      <c r="N1" s="99"/>
      <c r="O1" s="99"/>
      <c r="P1" s="99"/>
      <c r="Q1" s="99"/>
      <c r="R1" s="99"/>
      <c r="S1" s="99"/>
      <c r="T1" s="99"/>
      <c r="U1" s="99"/>
      <c r="V1" s="100"/>
      <c r="W1" s="114" t="s">
        <v>83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98" t="s">
        <v>84</v>
      </c>
      <c r="AQ1" s="99"/>
      <c r="AR1" s="99"/>
      <c r="AS1" s="100"/>
      <c r="AT1" s="98" t="s">
        <v>85</v>
      </c>
      <c r="AU1" s="99"/>
      <c r="AV1" s="99"/>
      <c r="AW1" s="99"/>
      <c r="AX1" s="100"/>
      <c r="AY1" s="98" t="s">
        <v>86</v>
      </c>
      <c r="AZ1" s="99"/>
      <c r="BA1" s="99"/>
      <c r="BB1" s="100"/>
      <c r="BC1" s="98" t="s">
        <v>87</v>
      </c>
      <c r="BD1" s="99"/>
      <c r="BE1" s="99"/>
      <c r="BF1" s="99"/>
      <c r="BG1" s="100"/>
      <c r="BH1" s="98" t="s">
        <v>88</v>
      </c>
      <c r="BI1" s="99"/>
      <c r="BJ1" s="99"/>
      <c r="BK1" s="100"/>
    </row>
    <row r="2" spans="1:63" customFormat="1" ht="15" customHeight="1">
      <c r="A2" s="101" t="s">
        <v>43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97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01" t="s">
        <v>30</v>
      </c>
      <c r="AQ2" s="102"/>
      <c r="AR2" s="102"/>
      <c r="AS2" s="103"/>
      <c r="AT2" s="107">
        <v>44930</v>
      </c>
      <c r="AU2" s="108"/>
      <c r="AV2" s="108"/>
      <c r="AW2" s="108"/>
      <c r="AX2" s="109"/>
      <c r="AY2" s="101" t="str">
        <f>LOOKUP(2,1/('Lịch sử thay đổi'!H3:H48&lt;&gt;""),'Lịch sử thay đổi'!H3:H48)</f>
        <v>ThanhPD</v>
      </c>
      <c r="AZ2" s="102"/>
      <c r="BA2" s="102"/>
      <c r="BB2" s="103"/>
      <c r="BC2" s="107">
        <f>LOOKUP(2,1/('Lịch sử thay đổi'!B3:B48&lt;&gt;""),'Lịch sử thay đổi'!B3:B48)</f>
        <v>44930</v>
      </c>
      <c r="BD2" s="108"/>
      <c r="BE2" s="108"/>
      <c r="BF2" s="108"/>
      <c r="BG2" s="109"/>
      <c r="BH2" s="101">
        <f>LOOKUP(2,1/('Lịch sử thay đổi'!O3:O48&lt;&gt;""),'Lịch sử thay đổi'!O3:O48)</f>
        <v>0.1</v>
      </c>
      <c r="BI2" s="102"/>
      <c r="BJ2" s="102"/>
      <c r="BK2" s="103"/>
    </row>
    <row r="3" spans="1:63" customFormat="1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104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customFormat="1" ht="24.95" customHeight="1">
      <c r="A4" s="98" t="s">
        <v>81</v>
      </c>
      <c r="B4" s="99"/>
      <c r="C4" s="99"/>
      <c r="D4" s="99"/>
      <c r="E4" s="99"/>
      <c r="F4" s="99"/>
      <c r="G4" s="100"/>
      <c r="H4" s="123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98" t="s">
        <v>82</v>
      </c>
      <c r="V4" s="99"/>
      <c r="W4" s="99"/>
      <c r="X4" s="99"/>
      <c r="Y4" s="100"/>
      <c r="Z4" s="123" t="s">
        <v>0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5"/>
      <c r="AP4" s="123" t="s">
        <v>89</v>
      </c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5"/>
    </row>
    <row r="5" spans="1:63" customFormat="1" ht="5.0999999999999996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ht="15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8"/>
    </row>
    <row r="8" spans="1:63" ht="1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8"/>
    </row>
    <row r="9" spans="1:63" ht="1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8"/>
    </row>
    <row r="10" spans="1:63" ht="15" customHeigh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8"/>
    </row>
    <row r="11" spans="1:63" ht="15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8"/>
    </row>
    <row r="12" spans="1:63" ht="15" customHeight="1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8"/>
    </row>
    <row r="13" spans="1:63" ht="15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8"/>
    </row>
    <row r="14" spans="1:63" ht="15" customHeight="1" thickBo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8"/>
    </row>
    <row r="15" spans="1:63" ht="15" customHeight="1" thickTop="1">
      <c r="A15" s="6"/>
      <c r="B15" s="7"/>
      <c r="C15" s="7"/>
      <c r="D15" s="7"/>
      <c r="E15" s="7"/>
      <c r="F15" s="7"/>
      <c r="G15" s="7"/>
      <c r="H15" s="7"/>
      <c r="I15" s="7"/>
      <c r="J15" s="7"/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1"/>
      <c r="BB15" s="7"/>
      <c r="BC15" s="7"/>
      <c r="BD15" s="7"/>
      <c r="BE15" s="7"/>
      <c r="BF15" s="7"/>
      <c r="BG15" s="7"/>
      <c r="BH15" s="7"/>
      <c r="BI15" s="7"/>
      <c r="BJ15" s="7"/>
      <c r="BK15" s="8"/>
    </row>
    <row r="16" spans="1:63" ht="15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12"/>
      <c r="L16" s="113" t="s">
        <v>43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3"/>
      <c r="BB16" s="7"/>
      <c r="BC16" s="7"/>
      <c r="BD16" s="7"/>
      <c r="BE16" s="7"/>
      <c r="BF16" s="7"/>
      <c r="BG16" s="7"/>
      <c r="BH16" s="7"/>
      <c r="BI16" s="7"/>
      <c r="BJ16" s="7"/>
      <c r="BK16" s="8"/>
    </row>
    <row r="17" spans="1:63" ht="15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12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3"/>
      <c r="BB17" s="7"/>
      <c r="BC17" s="7"/>
      <c r="BD17" s="7"/>
      <c r="BE17" s="7"/>
      <c r="BF17" s="7"/>
      <c r="BG17" s="7"/>
      <c r="BH17" s="7"/>
      <c r="BI17" s="7"/>
      <c r="BJ17" s="7"/>
      <c r="BK17" s="8"/>
    </row>
    <row r="18" spans="1:63" ht="15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12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3"/>
      <c r="BB18" s="7"/>
      <c r="BC18" s="7"/>
      <c r="BD18" s="7"/>
      <c r="BE18" s="7"/>
      <c r="BF18" s="7"/>
      <c r="BG18" s="7"/>
      <c r="BH18" s="7"/>
      <c r="BI18" s="7"/>
      <c r="BJ18" s="7"/>
      <c r="BK18" s="8"/>
    </row>
    <row r="19" spans="1:63" ht="15" customHeight="1">
      <c r="A19" s="6"/>
      <c r="B19" s="7"/>
      <c r="C19" s="7"/>
      <c r="D19" s="7"/>
      <c r="E19" s="7"/>
      <c r="F19" s="7"/>
      <c r="G19" s="7"/>
      <c r="H19" s="7"/>
      <c r="I19" s="7"/>
      <c r="J19" s="7"/>
      <c r="K19" s="12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3"/>
      <c r="BB19" s="7"/>
      <c r="BC19" s="7"/>
      <c r="BD19" s="7"/>
      <c r="BE19" s="7"/>
      <c r="BF19" s="7"/>
      <c r="BG19" s="7"/>
      <c r="BH19" s="7"/>
      <c r="BI19" s="7"/>
      <c r="BJ19" s="7"/>
      <c r="BK19" s="8"/>
    </row>
    <row r="20" spans="1:63" ht="15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12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3"/>
      <c r="BB20" s="7"/>
      <c r="BC20" s="7"/>
      <c r="BD20" s="7"/>
      <c r="BE20" s="7"/>
      <c r="BF20" s="7"/>
      <c r="BG20" s="7"/>
      <c r="BH20" s="7"/>
      <c r="BI20" s="7"/>
      <c r="BJ20" s="7"/>
      <c r="BK20" s="8"/>
    </row>
    <row r="21" spans="1:63" ht="15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12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3"/>
      <c r="BB21" s="7"/>
      <c r="BC21" s="7"/>
      <c r="BD21" s="7"/>
      <c r="BE21" s="7"/>
      <c r="BF21" s="7"/>
      <c r="BG21" s="7"/>
      <c r="BH21" s="7"/>
      <c r="BI21" s="7"/>
      <c r="BJ21" s="7"/>
      <c r="BK21" s="8"/>
    </row>
    <row r="22" spans="1:63" ht="15" customHeight="1" thickBot="1">
      <c r="A22" s="6"/>
      <c r="B22" s="7"/>
      <c r="C22" s="7"/>
      <c r="D22" s="7"/>
      <c r="E22" s="7"/>
      <c r="F22" s="7"/>
      <c r="G22" s="7"/>
      <c r="H22" s="7"/>
      <c r="I22" s="7"/>
      <c r="J22" s="7"/>
      <c r="K22" s="12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3"/>
      <c r="BB22" s="7"/>
      <c r="BC22" s="7"/>
      <c r="BD22" s="7"/>
      <c r="BE22" s="7"/>
      <c r="BF22" s="7"/>
      <c r="BG22" s="7"/>
      <c r="BH22" s="7"/>
      <c r="BI22" s="7"/>
      <c r="BJ22" s="7"/>
      <c r="BK22" s="8"/>
    </row>
    <row r="23" spans="1:63" ht="15" customHeight="1">
      <c r="A23" s="6"/>
      <c r="B23" s="7"/>
      <c r="C23" s="7"/>
      <c r="D23" s="7"/>
      <c r="E23" s="7"/>
      <c r="F23" s="7"/>
      <c r="G23" s="7"/>
      <c r="H23" s="7"/>
      <c r="I23" s="7"/>
      <c r="J23" s="7"/>
      <c r="K23" s="12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3"/>
      <c r="BB23" s="7"/>
      <c r="BC23" s="7"/>
      <c r="BD23" s="7"/>
      <c r="BE23" s="7"/>
      <c r="BF23" s="7"/>
      <c r="BG23" s="7"/>
      <c r="BH23" s="7"/>
      <c r="BI23" s="7"/>
      <c r="BJ23" s="7"/>
      <c r="BK23" s="8"/>
    </row>
    <row r="24" spans="1:63" ht="1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12"/>
      <c r="L24" s="113" t="str">
        <f>K2&amp;"/"&amp;H4&amp;"/"&amp;Z4</f>
        <v>14_Thiết kế DB//ー</v>
      </c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3"/>
      <c r="BB24" s="7"/>
      <c r="BC24" s="7"/>
      <c r="BD24" s="7"/>
      <c r="BE24" s="7"/>
      <c r="BF24" s="7"/>
      <c r="BG24" s="7"/>
      <c r="BH24" s="7"/>
      <c r="BI24" s="7"/>
      <c r="BJ24" s="7"/>
      <c r="BK24" s="8"/>
    </row>
    <row r="25" spans="1:63" ht="1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12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3"/>
      <c r="BB25" s="7"/>
      <c r="BC25" s="7"/>
      <c r="BD25" s="7"/>
      <c r="BE25" s="7"/>
      <c r="BF25" s="7"/>
      <c r="BG25" s="7"/>
      <c r="BH25" s="7"/>
      <c r="BI25" s="7"/>
      <c r="BJ25" s="7"/>
      <c r="BK25" s="8"/>
    </row>
    <row r="26" spans="1:63" ht="15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12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3"/>
      <c r="BB26" s="7"/>
      <c r="BC26" s="7"/>
      <c r="BD26" s="7"/>
      <c r="BE26" s="7"/>
      <c r="BF26" s="7"/>
      <c r="BG26" s="7"/>
      <c r="BH26" s="7"/>
      <c r="BI26" s="7"/>
      <c r="BJ26" s="7"/>
      <c r="BK26" s="8"/>
    </row>
    <row r="27" spans="1:63" ht="15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12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3"/>
      <c r="BB27" s="7"/>
      <c r="BC27" s="7"/>
      <c r="BD27" s="7"/>
      <c r="BE27" s="7"/>
      <c r="BF27" s="7"/>
      <c r="BG27" s="7"/>
      <c r="BH27" s="7"/>
      <c r="BI27" s="7"/>
      <c r="BJ27" s="7"/>
      <c r="BK27" s="8"/>
    </row>
    <row r="28" spans="1:63" ht="15" customHeight="1">
      <c r="A28" s="6"/>
      <c r="B28" s="7"/>
      <c r="C28" s="7"/>
      <c r="D28" s="7"/>
      <c r="E28" s="7"/>
      <c r="F28" s="7"/>
      <c r="G28" s="7"/>
      <c r="H28" s="7"/>
      <c r="I28" s="7"/>
      <c r="J28" s="7"/>
      <c r="K28" s="12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3"/>
      <c r="BB28" s="7"/>
      <c r="BC28" s="7"/>
      <c r="BD28" s="7"/>
      <c r="BE28" s="7"/>
      <c r="BF28" s="7"/>
      <c r="BG28" s="7"/>
      <c r="BH28" s="7"/>
      <c r="BI28" s="7"/>
      <c r="BJ28" s="7"/>
      <c r="BK28" s="8"/>
    </row>
    <row r="29" spans="1:63" ht="15" customHeight="1">
      <c r="A29" s="6"/>
      <c r="B29" s="7"/>
      <c r="C29" s="7"/>
      <c r="D29" s="7"/>
      <c r="E29" s="7"/>
      <c r="F29" s="7"/>
      <c r="G29" s="7"/>
      <c r="H29" s="7"/>
      <c r="I29" s="7"/>
      <c r="J29" s="7"/>
      <c r="K29" s="12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3"/>
      <c r="BB29" s="7"/>
      <c r="BC29" s="7"/>
      <c r="BD29" s="7"/>
      <c r="BE29" s="7"/>
      <c r="BF29" s="7"/>
      <c r="BG29" s="7"/>
      <c r="BH29" s="7"/>
      <c r="BI29" s="7"/>
      <c r="BJ29" s="7"/>
      <c r="BK29" s="8"/>
    </row>
    <row r="30" spans="1:63" ht="15" customHeight="1">
      <c r="A30" s="6"/>
      <c r="B30" s="7"/>
      <c r="C30" s="7"/>
      <c r="D30" s="7"/>
      <c r="E30" s="7"/>
      <c r="F30" s="7"/>
      <c r="G30" s="7"/>
      <c r="H30" s="7"/>
      <c r="I30" s="7"/>
      <c r="J30" s="7"/>
      <c r="K30" s="12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3"/>
      <c r="BB30" s="7"/>
      <c r="BC30" s="7"/>
      <c r="BD30" s="7"/>
      <c r="BE30" s="7"/>
      <c r="BF30" s="7"/>
      <c r="BG30" s="7"/>
      <c r="BH30" s="7"/>
      <c r="BI30" s="7"/>
      <c r="BJ30" s="7"/>
      <c r="BK30" s="8"/>
    </row>
    <row r="31" spans="1:63" ht="15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12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3"/>
      <c r="BB31" s="7"/>
      <c r="BC31" s="7"/>
      <c r="BD31" s="7"/>
      <c r="BE31" s="7"/>
      <c r="BF31" s="7"/>
      <c r="BG31" s="7"/>
      <c r="BH31" s="7"/>
      <c r="BI31" s="7"/>
      <c r="BJ31" s="7"/>
      <c r="BK31" s="8"/>
    </row>
    <row r="32" spans="1:63" ht="15" customHeight="1">
      <c r="A32" s="6"/>
      <c r="B32" s="7"/>
      <c r="C32" s="7"/>
      <c r="D32" s="7"/>
      <c r="E32" s="7"/>
      <c r="F32" s="7"/>
      <c r="G32" s="7"/>
      <c r="H32" s="7"/>
      <c r="I32" s="7"/>
      <c r="J32" s="7"/>
      <c r="K32" s="12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3"/>
      <c r="BB32" s="7"/>
      <c r="BC32" s="7"/>
      <c r="BD32" s="7"/>
      <c r="BE32" s="7"/>
      <c r="BF32" s="7"/>
      <c r="BG32" s="7"/>
      <c r="BH32" s="7"/>
      <c r="BI32" s="7"/>
      <c r="BJ32" s="7"/>
      <c r="BK32" s="8"/>
    </row>
    <row r="33" spans="1:63" ht="1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12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3"/>
      <c r="BB33" s="7"/>
      <c r="BC33" s="7"/>
      <c r="BD33" s="7"/>
      <c r="BE33" s="7"/>
      <c r="BF33" s="7"/>
      <c r="BG33" s="7"/>
      <c r="BH33" s="7"/>
      <c r="BI33" s="7"/>
      <c r="BJ33" s="7"/>
      <c r="BK33" s="8"/>
    </row>
    <row r="34" spans="1:63" ht="1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12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3"/>
      <c r="BB34" s="7"/>
      <c r="BC34" s="7"/>
      <c r="BD34" s="7"/>
      <c r="BE34" s="7"/>
      <c r="BF34" s="7"/>
      <c r="BG34" s="7"/>
      <c r="BH34" s="7"/>
      <c r="BI34" s="7"/>
      <c r="BJ34" s="7"/>
      <c r="BK34" s="8"/>
    </row>
    <row r="35" spans="1:63" ht="15" customHeight="1">
      <c r="A35" s="6"/>
      <c r="B35" s="7"/>
      <c r="C35" s="7"/>
      <c r="D35" s="7"/>
      <c r="E35" s="7"/>
      <c r="F35" s="7"/>
      <c r="G35" s="7"/>
      <c r="H35" s="7"/>
      <c r="I35" s="7"/>
      <c r="J35" s="7"/>
      <c r="K35" s="12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3"/>
      <c r="BB35" s="7"/>
      <c r="BC35" s="7"/>
      <c r="BD35" s="7"/>
      <c r="BE35" s="7"/>
      <c r="BF35" s="7"/>
      <c r="BG35" s="7"/>
      <c r="BH35" s="7"/>
      <c r="BI35" s="7"/>
      <c r="BJ35" s="7"/>
      <c r="BK35" s="8"/>
    </row>
    <row r="36" spans="1:63" ht="15" customHeight="1">
      <c r="A36" s="6"/>
      <c r="B36" s="7"/>
      <c r="C36" s="7"/>
      <c r="D36" s="7"/>
      <c r="E36" s="7"/>
      <c r="F36" s="7"/>
      <c r="G36" s="7"/>
      <c r="H36" s="7"/>
      <c r="I36" s="7"/>
      <c r="J36" s="7"/>
      <c r="K36" s="12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3"/>
      <c r="BB36" s="7"/>
      <c r="BC36" s="7"/>
      <c r="BD36" s="7"/>
      <c r="BE36" s="7"/>
      <c r="BF36" s="7"/>
      <c r="BG36" s="7"/>
      <c r="BH36" s="7"/>
      <c r="BI36" s="7"/>
      <c r="BJ36" s="7"/>
      <c r="BK36" s="8"/>
    </row>
    <row r="37" spans="1:63" ht="15" customHeight="1" thickBot="1">
      <c r="A37" s="6"/>
      <c r="B37" s="7"/>
      <c r="C37" s="7"/>
      <c r="D37" s="7"/>
      <c r="E37" s="7"/>
      <c r="F37" s="7"/>
      <c r="G37" s="7"/>
      <c r="H37" s="7"/>
      <c r="I37" s="7"/>
      <c r="J37" s="7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8"/>
      <c r="BB37" s="7"/>
      <c r="BC37" s="7"/>
      <c r="BD37" s="7"/>
      <c r="BE37" s="7"/>
      <c r="BF37" s="7"/>
      <c r="BG37" s="7"/>
      <c r="BH37" s="7"/>
      <c r="BI37" s="7"/>
      <c r="BJ37" s="7"/>
      <c r="BK37" s="8"/>
    </row>
    <row r="38" spans="1:63" ht="15" customHeight="1" thickTop="1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8"/>
    </row>
    <row r="39" spans="1:63" ht="15" customHeight="1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8"/>
    </row>
    <row r="40" spans="1:63" ht="15" customHeight="1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8"/>
    </row>
    <row r="41" spans="1:63" ht="15" customHeight="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8"/>
    </row>
    <row r="42" spans="1:63" ht="15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8"/>
    </row>
    <row r="43" spans="1:63" ht="15" customHeight="1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8"/>
    </row>
    <row r="44" spans="1:63" s="28" customFormat="1" ht="15" customHeight="1">
      <c r="A44" s="27"/>
      <c r="Q44" s="126" t="s">
        <v>95</v>
      </c>
      <c r="R44" s="127"/>
      <c r="S44" s="127"/>
      <c r="T44" s="127"/>
      <c r="U44" s="127"/>
      <c r="V44" s="127"/>
      <c r="W44" s="127"/>
      <c r="X44" s="127"/>
      <c r="Y44" s="127"/>
      <c r="Z44" s="128"/>
      <c r="AA44" s="126" t="s">
        <v>96</v>
      </c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8"/>
      <c r="AQ44" s="126" t="s">
        <v>88</v>
      </c>
      <c r="AR44" s="127"/>
      <c r="AS44" s="127"/>
      <c r="AT44" s="127"/>
      <c r="AU44" s="128"/>
      <c r="BK44" s="29"/>
    </row>
    <row r="45" spans="1:63" s="28" customFormat="1" ht="15" customHeight="1">
      <c r="A45" s="27"/>
      <c r="Q45" s="129"/>
      <c r="R45" s="130"/>
      <c r="S45" s="130"/>
      <c r="T45" s="130"/>
      <c r="U45" s="130"/>
      <c r="V45" s="130"/>
      <c r="W45" s="130"/>
      <c r="X45" s="130"/>
      <c r="Y45" s="130"/>
      <c r="Z45" s="131"/>
      <c r="AA45" s="129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1"/>
      <c r="AQ45" s="129"/>
      <c r="AR45" s="130"/>
      <c r="AS45" s="130"/>
      <c r="AT45" s="130"/>
      <c r="AU45" s="131"/>
      <c r="BK45" s="29"/>
    </row>
    <row r="46" spans="1:63" s="28" customFormat="1" ht="15" customHeight="1">
      <c r="A46" s="27"/>
      <c r="Q46" s="101"/>
      <c r="R46" s="102"/>
      <c r="S46" s="102"/>
      <c r="T46" s="102"/>
      <c r="U46" s="102"/>
      <c r="V46" s="102"/>
      <c r="W46" s="102"/>
      <c r="X46" s="102"/>
      <c r="Y46" s="102"/>
      <c r="Z46" s="103"/>
      <c r="AA46" s="101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3"/>
      <c r="AQ46" s="101"/>
      <c r="AR46" s="102"/>
      <c r="AS46" s="102"/>
      <c r="AT46" s="102"/>
      <c r="AU46" s="103"/>
      <c r="BK46" s="29"/>
    </row>
    <row r="47" spans="1:63" s="28" customFormat="1" ht="15" customHeight="1">
      <c r="A47" s="27"/>
      <c r="Q47" s="132"/>
      <c r="R47" s="133"/>
      <c r="S47" s="133"/>
      <c r="T47" s="133"/>
      <c r="U47" s="133"/>
      <c r="V47" s="133"/>
      <c r="W47" s="133"/>
      <c r="X47" s="133"/>
      <c r="Y47" s="133"/>
      <c r="Z47" s="134"/>
      <c r="AA47" s="132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4"/>
      <c r="AQ47" s="132"/>
      <c r="AR47" s="133"/>
      <c r="AS47" s="133"/>
      <c r="AT47" s="133"/>
      <c r="AU47" s="134"/>
      <c r="BK47" s="29"/>
    </row>
    <row r="48" spans="1:63" s="28" customFormat="1" ht="15" customHeight="1">
      <c r="A48" s="27"/>
      <c r="Q48" s="132"/>
      <c r="R48" s="133"/>
      <c r="S48" s="133"/>
      <c r="T48" s="133"/>
      <c r="U48" s="133"/>
      <c r="V48" s="133"/>
      <c r="W48" s="133"/>
      <c r="X48" s="133"/>
      <c r="Y48" s="133"/>
      <c r="Z48" s="134"/>
      <c r="AA48" s="132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4"/>
      <c r="AQ48" s="132"/>
      <c r="AR48" s="133"/>
      <c r="AS48" s="133"/>
      <c r="AT48" s="133"/>
      <c r="AU48" s="134"/>
      <c r="BK48" s="29"/>
    </row>
    <row r="49" spans="1:63" s="28" customFormat="1" ht="15" customHeight="1">
      <c r="A49" s="27"/>
      <c r="Q49" s="104"/>
      <c r="R49" s="105"/>
      <c r="S49" s="105"/>
      <c r="T49" s="105"/>
      <c r="U49" s="105"/>
      <c r="V49" s="105"/>
      <c r="W49" s="105"/>
      <c r="X49" s="105"/>
      <c r="Y49" s="105"/>
      <c r="Z49" s="106"/>
      <c r="AA49" s="104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6"/>
      <c r="AQ49" s="104"/>
      <c r="AR49" s="105"/>
      <c r="AS49" s="105"/>
      <c r="AT49" s="105"/>
      <c r="AU49" s="106"/>
      <c r="BK49" s="29"/>
    </row>
    <row r="50" spans="1:63" ht="15" customHeigh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8"/>
    </row>
    <row r="51" spans="1:63" ht="15" customHeight="1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8"/>
    </row>
    <row r="52" spans="1:63" ht="15" customHeight="1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8"/>
    </row>
    <row r="53" spans="1:63" ht="15" customHeight="1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8"/>
    </row>
    <row r="54" spans="1:63" ht="15" customHeight="1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8"/>
    </row>
    <row r="55" spans="1:63" ht="1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  <row r="56" spans="1:63" ht="15" customHeight="1"/>
    <row r="57" spans="1:63" ht="15" customHeight="1"/>
    <row r="58" spans="1:63" ht="15" customHeight="1"/>
    <row r="59" spans="1:63" ht="15" customHeight="1"/>
    <row r="60" spans="1:63" ht="15" customHeight="1"/>
    <row r="61" spans="1:63" ht="15" customHeight="1"/>
    <row r="62" spans="1:63" ht="15" customHeight="1"/>
    <row r="63" spans="1:63" ht="15" customHeight="1"/>
    <row r="64" spans="1:63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</sheetData>
  <mergeCells count="28">
    <mergeCell ref="Q44:Z45"/>
    <mergeCell ref="AA44:AP45"/>
    <mergeCell ref="AQ44:AU45"/>
    <mergeCell ref="Q46:Z49"/>
    <mergeCell ref="AA46:AP49"/>
    <mergeCell ref="AQ46:AU49"/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4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K61"/>
  <sheetViews>
    <sheetView view="pageBreakPreview" zoomScaleNormal="75" zoomScaleSheetLayoutView="100" workbookViewId="0">
      <selection sqref="A1:J1"/>
    </sheetView>
  </sheetViews>
  <sheetFormatPr defaultColWidth="9" defaultRowHeight="13.5"/>
  <cols>
    <col min="1" max="14" width="2.77734375" style="1" customWidth="1"/>
    <col min="15" max="18" width="2.77734375" style="4" customWidth="1"/>
    <col min="19" max="63" width="2.77734375" style="1" customWidth="1"/>
    <col min="64" max="64" width="9" style="1" customWidth="1"/>
    <col min="65" max="16384" width="9" style="1"/>
  </cols>
  <sheetData>
    <row r="1" spans="1:63" customFormat="1" ht="24.95" customHeight="1">
      <c r="A1" s="137" t="s">
        <v>79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80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IF(Bìa!W1="","",Bìa!W1)</f>
        <v>TKDB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37" t="s">
        <v>84</v>
      </c>
      <c r="AQ1" s="138"/>
      <c r="AR1" s="138"/>
      <c r="AS1" s="139"/>
      <c r="AT1" s="137" t="s">
        <v>90</v>
      </c>
      <c r="AU1" s="138"/>
      <c r="AV1" s="138"/>
      <c r="AW1" s="138"/>
      <c r="AX1" s="139"/>
      <c r="AY1" s="137" t="s">
        <v>86</v>
      </c>
      <c r="AZ1" s="138"/>
      <c r="BA1" s="138"/>
      <c r="BB1" s="139"/>
      <c r="BC1" s="137" t="s">
        <v>87</v>
      </c>
      <c r="BD1" s="138"/>
      <c r="BE1" s="138"/>
      <c r="BF1" s="138"/>
      <c r="BG1" s="139"/>
      <c r="BH1" s="137" t="s">
        <v>88</v>
      </c>
      <c r="BI1" s="138"/>
      <c r="BJ1" s="138"/>
      <c r="BK1" s="139"/>
    </row>
    <row r="2" spans="1:63" customFormat="1" ht="15" customHeight="1">
      <c r="A2" s="142" t="str">
        <f>IF(Bìa!A2="","",Bìa!A2)</f>
        <v>Manager User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IF(Bìa!K2="","",Bìa!K2)</f>
        <v>14_Thiết kế DB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42" t="str">
        <f>IF(Bìa!AP2="","",Bìa!AP2)</f>
        <v>ThanhPD</v>
      </c>
      <c r="AQ2" s="143"/>
      <c r="AR2" s="143"/>
      <c r="AS2" s="144"/>
      <c r="AT2" s="148">
        <f>IF(Bìa!AT2="","",Bìa!AT2)</f>
        <v>44930</v>
      </c>
      <c r="AU2" s="149"/>
      <c r="AV2" s="149"/>
      <c r="AW2" s="149"/>
      <c r="AX2" s="150"/>
      <c r="AY2" s="142" t="str">
        <f>IF(Bìa!AY2="","",Bìa!AY2)</f>
        <v>ThanhPD</v>
      </c>
      <c r="AZ2" s="143"/>
      <c r="BA2" s="143"/>
      <c r="BB2" s="144"/>
      <c r="BC2" s="148">
        <f>IF(Bìa!BC2="","",Bìa!BC2)</f>
        <v>44930</v>
      </c>
      <c r="BD2" s="149"/>
      <c r="BE2" s="149"/>
      <c r="BF2" s="149"/>
      <c r="BG2" s="150"/>
      <c r="BH2" s="142">
        <f>IF(Bìa!BH2="","",Bìa!BH2)</f>
        <v>0.1</v>
      </c>
      <c r="BI2" s="143"/>
      <c r="BJ2" s="143"/>
      <c r="BK2" s="144"/>
    </row>
    <row r="3" spans="1:63" customFormat="1" ht="15" customHeight="1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customFormat="1" ht="24.95" customHeight="1">
      <c r="A4" s="137" t="s">
        <v>81</v>
      </c>
      <c r="B4" s="138"/>
      <c r="C4" s="138"/>
      <c r="D4" s="138"/>
      <c r="E4" s="138"/>
      <c r="F4" s="138"/>
      <c r="G4" s="139"/>
      <c r="H4" s="141" t="str">
        <f>IF(Bìa!H4="","",Bìa!H4)</f>
        <v/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6"/>
      <c r="U4" s="137" t="s">
        <v>82</v>
      </c>
      <c r="V4" s="138"/>
      <c r="W4" s="138"/>
      <c r="X4" s="138"/>
      <c r="Y4" s="139"/>
      <c r="Z4" s="141" t="str">
        <f>IF(Bìa!Z4="","",Bìa!Z4)</f>
        <v>ー</v>
      </c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6"/>
      <c r="AP4" s="123" t="s">
        <v>91</v>
      </c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6"/>
    </row>
    <row r="5" spans="1:63" customFormat="1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9"/>
    </row>
    <row r="7" spans="1:63" ht="15" customHeight="1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9"/>
    </row>
    <row r="8" spans="1:63" ht="15" customHeight="1">
      <c r="A8" s="27"/>
      <c r="B8" s="30" t="s">
        <v>93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1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29"/>
    </row>
    <row r="9" spans="1:63" ht="15" customHeight="1">
      <c r="A9" s="27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29"/>
    </row>
    <row r="10" spans="1:63" ht="15" customHeight="1">
      <c r="A10" s="27"/>
      <c r="B10" s="32" t="s">
        <v>92</v>
      </c>
      <c r="C10" s="33"/>
      <c r="D10" s="33"/>
      <c r="E10" s="33"/>
      <c r="F10" s="33"/>
      <c r="G10" s="33"/>
      <c r="H10" s="32" t="s">
        <v>86</v>
      </c>
      <c r="I10" s="33"/>
      <c r="J10" s="33"/>
      <c r="K10" s="33"/>
      <c r="L10" s="33"/>
      <c r="M10" s="33"/>
      <c r="N10" s="33"/>
      <c r="O10" s="32" t="s">
        <v>88</v>
      </c>
      <c r="P10" s="33"/>
      <c r="Q10" s="33"/>
      <c r="R10" s="33"/>
      <c r="S10" s="32" t="s">
        <v>94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428" t="s">
        <v>95</v>
      </c>
      <c r="AY10" s="429"/>
      <c r="AZ10" s="429"/>
      <c r="BA10" s="429"/>
      <c r="BB10" s="429"/>
      <c r="BC10" s="429"/>
      <c r="BD10" s="429" t="s">
        <v>96</v>
      </c>
      <c r="BE10" s="429"/>
      <c r="BF10" s="429"/>
      <c r="BG10" s="429"/>
      <c r="BH10" s="429"/>
      <c r="BI10" s="429"/>
      <c r="BJ10" s="430"/>
      <c r="BK10" s="29"/>
    </row>
    <row r="11" spans="1:63" ht="15" customHeight="1">
      <c r="A11" s="27"/>
      <c r="B11" s="154">
        <v>44930</v>
      </c>
      <c r="C11" s="155"/>
      <c r="D11" s="155"/>
      <c r="E11" s="155"/>
      <c r="F11" s="155"/>
      <c r="G11" s="156"/>
      <c r="H11" s="160" t="s">
        <v>30</v>
      </c>
      <c r="I11" s="161"/>
      <c r="J11" s="161"/>
      <c r="K11" s="161"/>
      <c r="L11" s="161"/>
      <c r="M11" s="161"/>
      <c r="N11" s="162"/>
      <c r="O11" s="166">
        <v>0.1</v>
      </c>
      <c r="P11" s="167"/>
      <c r="Q11" s="167"/>
      <c r="R11" s="168"/>
      <c r="S11" s="172" t="s">
        <v>4</v>
      </c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4"/>
      <c r="AX11" s="178"/>
      <c r="AY11" s="179"/>
      <c r="AZ11" s="179"/>
      <c r="BA11" s="179"/>
      <c r="BB11" s="179"/>
      <c r="BC11" s="180"/>
      <c r="BD11" s="178"/>
      <c r="BE11" s="179"/>
      <c r="BF11" s="179"/>
      <c r="BG11" s="179"/>
      <c r="BH11" s="179"/>
      <c r="BI11" s="179"/>
      <c r="BJ11" s="180"/>
      <c r="BK11" s="29"/>
    </row>
    <row r="12" spans="1:63" ht="15" customHeight="1">
      <c r="A12" s="27"/>
      <c r="B12" s="157"/>
      <c r="C12" s="158"/>
      <c r="D12" s="158"/>
      <c r="E12" s="158"/>
      <c r="F12" s="158"/>
      <c r="G12" s="159"/>
      <c r="H12" s="163"/>
      <c r="I12" s="164"/>
      <c r="J12" s="164"/>
      <c r="K12" s="164"/>
      <c r="L12" s="164"/>
      <c r="M12" s="164"/>
      <c r="N12" s="165"/>
      <c r="O12" s="169"/>
      <c r="P12" s="170"/>
      <c r="Q12" s="170"/>
      <c r="R12" s="171"/>
      <c r="S12" s="175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7"/>
      <c r="AX12" s="181"/>
      <c r="AY12" s="182"/>
      <c r="AZ12" s="182"/>
      <c r="BA12" s="182"/>
      <c r="BB12" s="182"/>
      <c r="BC12" s="183"/>
      <c r="BD12" s="181"/>
      <c r="BE12" s="182"/>
      <c r="BF12" s="182"/>
      <c r="BG12" s="182"/>
      <c r="BH12" s="182"/>
      <c r="BI12" s="182"/>
      <c r="BJ12" s="183"/>
      <c r="BK12" s="29"/>
    </row>
    <row r="13" spans="1:63" ht="15" customHeight="1">
      <c r="A13" s="27"/>
      <c r="B13" s="154"/>
      <c r="C13" s="155"/>
      <c r="D13" s="155"/>
      <c r="E13" s="155"/>
      <c r="F13" s="155"/>
      <c r="G13" s="156"/>
      <c r="H13" s="160"/>
      <c r="I13" s="161"/>
      <c r="J13" s="161"/>
      <c r="K13" s="161"/>
      <c r="L13" s="161"/>
      <c r="M13" s="161"/>
      <c r="N13" s="162"/>
      <c r="O13" s="166"/>
      <c r="P13" s="167"/>
      <c r="Q13" s="167"/>
      <c r="R13" s="168"/>
      <c r="S13" s="172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4"/>
      <c r="AX13" s="178"/>
      <c r="AY13" s="179"/>
      <c r="AZ13" s="179"/>
      <c r="BA13" s="179"/>
      <c r="BB13" s="179"/>
      <c r="BC13" s="180"/>
      <c r="BD13" s="178"/>
      <c r="BE13" s="179"/>
      <c r="BF13" s="179"/>
      <c r="BG13" s="179"/>
      <c r="BH13" s="179"/>
      <c r="BI13" s="179"/>
      <c r="BJ13" s="180"/>
      <c r="BK13" s="29"/>
    </row>
    <row r="14" spans="1:63" ht="15" customHeight="1">
      <c r="A14" s="27"/>
      <c r="B14" s="157"/>
      <c r="C14" s="158"/>
      <c r="D14" s="158"/>
      <c r="E14" s="158"/>
      <c r="F14" s="158"/>
      <c r="G14" s="159"/>
      <c r="H14" s="163"/>
      <c r="I14" s="164"/>
      <c r="J14" s="164"/>
      <c r="K14" s="164"/>
      <c r="L14" s="164"/>
      <c r="M14" s="164"/>
      <c r="N14" s="165"/>
      <c r="O14" s="169"/>
      <c r="P14" s="170"/>
      <c r="Q14" s="170"/>
      <c r="R14" s="171"/>
      <c r="S14" s="175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7"/>
      <c r="AX14" s="181"/>
      <c r="AY14" s="182"/>
      <c r="AZ14" s="182"/>
      <c r="BA14" s="182"/>
      <c r="BB14" s="182"/>
      <c r="BC14" s="183"/>
      <c r="BD14" s="181"/>
      <c r="BE14" s="182"/>
      <c r="BF14" s="182"/>
      <c r="BG14" s="182"/>
      <c r="BH14" s="182"/>
      <c r="BI14" s="182"/>
      <c r="BJ14" s="183"/>
      <c r="BK14" s="29"/>
    </row>
    <row r="15" spans="1:63" ht="15" customHeight="1">
      <c r="A15" s="27"/>
      <c r="B15" s="154"/>
      <c r="C15" s="155"/>
      <c r="D15" s="155"/>
      <c r="E15" s="155"/>
      <c r="F15" s="155"/>
      <c r="G15" s="156"/>
      <c r="H15" s="160"/>
      <c r="I15" s="161"/>
      <c r="J15" s="161"/>
      <c r="K15" s="161"/>
      <c r="L15" s="161"/>
      <c r="M15" s="161"/>
      <c r="N15" s="162"/>
      <c r="O15" s="166"/>
      <c r="P15" s="167"/>
      <c r="Q15" s="167"/>
      <c r="R15" s="168"/>
      <c r="S15" s="172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78"/>
      <c r="AY15" s="179"/>
      <c r="AZ15" s="179"/>
      <c r="BA15" s="179"/>
      <c r="BB15" s="179"/>
      <c r="BC15" s="180"/>
      <c r="BD15" s="178"/>
      <c r="BE15" s="179"/>
      <c r="BF15" s="179"/>
      <c r="BG15" s="179"/>
      <c r="BH15" s="179"/>
      <c r="BI15" s="179"/>
      <c r="BJ15" s="180"/>
      <c r="BK15" s="29"/>
    </row>
    <row r="16" spans="1:63" ht="15" customHeight="1">
      <c r="A16" s="27"/>
      <c r="B16" s="157"/>
      <c r="C16" s="158"/>
      <c r="D16" s="158"/>
      <c r="E16" s="158"/>
      <c r="F16" s="158"/>
      <c r="G16" s="159"/>
      <c r="H16" s="163"/>
      <c r="I16" s="164"/>
      <c r="J16" s="164"/>
      <c r="K16" s="164"/>
      <c r="L16" s="164"/>
      <c r="M16" s="164"/>
      <c r="N16" s="165"/>
      <c r="O16" s="169"/>
      <c r="P16" s="170"/>
      <c r="Q16" s="170"/>
      <c r="R16" s="171"/>
      <c r="S16" s="175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7"/>
      <c r="AX16" s="181"/>
      <c r="AY16" s="182"/>
      <c r="AZ16" s="182"/>
      <c r="BA16" s="182"/>
      <c r="BB16" s="182"/>
      <c r="BC16" s="183"/>
      <c r="BD16" s="181"/>
      <c r="BE16" s="182"/>
      <c r="BF16" s="182"/>
      <c r="BG16" s="182"/>
      <c r="BH16" s="182"/>
      <c r="BI16" s="182"/>
      <c r="BJ16" s="183"/>
      <c r="BK16" s="29"/>
    </row>
    <row r="17" spans="1:63" ht="15" customHeight="1">
      <c r="A17" s="27"/>
      <c r="B17" s="154"/>
      <c r="C17" s="155"/>
      <c r="D17" s="155"/>
      <c r="E17" s="155"/>
      <c r="F17" s="155"/>
      <c r="G17" s="156"/>
      <c r="H17" s="160"/>
      <c r="I17" s="161"/>
      <c r="J17" s="161"/>
      <c r="K17" s="161"/>
      <c r="L17" s="161"/>
      <c r="M17" s="161"/>
      <c r="N17" s="162"/>
      <c r="O17" s="166"/>
      <c r="P17" s="167"/>
      <c r="Q17" s="167"/>
      <c r="R17" s="168"/>
      <c r="S17" s="172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4"/>
      <c r="AX17" s="178"/>
      <c r="AY17" s="179"/>
      <c r="AZ17" s="179"/>
      <c r="BA17" s="179"/>
      <c r="BB17" s="179"/>
      <c r="BC17" s="180"/>
      <c r="BD17" s="178"/>
      <c r="BE17" s="179"/>
      <c r="BF17" s="179"/>
      <c r="BG17" s="179"/>
      <c r="BH17" s="179"/>
      <c r="BI17" s="179"/>
      <c r="BJ17" s="180"/>
      <c r="BK17" s="29"/>
    </row>
    <row r="18" spans="1:63" ht="15" customHeight="1">
      <c r="A18" s="27"/>
      <c r="B18" s="157"/>
      <c r="C18" s="158"/>
      <c r="D18" s="158"/>
      <c r="E18" s="158"/>
      <c r="F18" s="158"/>
      <c r="G18" s="159"/>
      <c r="H18" s="163"/>
      <c r="I18" s="164"/>
      <c r="J18" s="164"/>
      <c r="K18" s="164"/>
      <c r="L18" s="164"/>
      <c r="M18" s="164"/>
      <c r="N18" s="165"/>
      <c r="O18" s="169"/>
      <c r="P18" s="170"/>
      <c r="Q18" s="170"/>
      <c r="R18" s="171"/>
      <c r="S18" s="175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7"/>
      <c r="AX18" s="181"/>
      <c r="AY18" s="182"/>
      <c r="AZ18" s="182"/>
      <c r="BA18" s="182"/>
      <c r="BB18" s="182"/>
      <c r="BC18" s="183"/>
      <c r="BD18" s="181"/>
      <c r="BE18" s="182"/>
      <c r="BF18" s="182"/>
      <c r="BG18" s="182"/>
      <c r="BH18" s="182"/>
      <c r="BI18" s="182"/>
      <c r="BJ18" s="183"/>
      <c r="BK18" s="29"/>
    </row>
    <row r="19" spans="1:63" ht="15" customHeight="1">
      <c r="A19" s="27"/>
      <c r="B19" s="154"/>
      <c r="C19" s="155"/>
      <c r="D19" s="155"/>
      <c r="E19" s="155"/>
      <c r="F19" s="155"/>
      <c r="G19" s="156"/>
      <c r="H19" s="160"/>
      <c r="I19" s="161"/>
      <c r="J19" s="161"/>
      <c r="K19" s="161"/>
      <c r="L19" s="161"/>
      <c r="M19" s="161"/>
      <c r="N19" s="162"/>
      <c r="O19" s="166"/>
      <c r="P19" s="167"/>
      <c r="Q19" s="167"/>
      <c r="R19" s="168"/>
      <c r="S19" s="172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4"/>
      <c r="AX19" s="178"/>
      <c r="AY19" s="179"/>
      <c r="AZ19" s="179"/>
      <c r="BA19" s="179"/>
      <c r="BB19" s="179"/>
      <c r="BC19" s="180"/>
      <c r="BD19" s="178"/>
      <c r="BE19" s="179"/>
      <c r="BF19" s="179"/>
      <c r="BG19" s="179"/>
      <c r="BH19" s="179"/>
      <c r="BI19" s="179"/>
      <c r="BJ19" s="180"/>
      <c r="BK19" s="29"/>
    </row>
    <row r="20" spans="1:63" ht="15" customHeight="1">
      <c r="A20" s="27"/>
      <c r="B20" s="157"/>
      <c r="C20" s="158"/>
      <c r="D20" s="158"/>
      <c r="E20" s="158"/>
      <c r="F20" s="158"/>
      <c r="G20" s="159"/>
      <c r="H20" s="163"/>
      <c r="I20" s="164"/>
      <c r="J20" s="164"/>
      <c r="K20" s="164"/>
      <c r="L20" s="164"/>
      <c r="M20" s="164"/>
      <c r="N20" s="165"/>
      <c r="O20" s="169"/>
      <c r="P20" s="170"/>
      <c r="Q20" s="170"/>
      <c r="R20" s="171"/>
      <c r="S20" s="175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7"/>
      <c r="AX20" s="181"/>
      <c r="AY20" s="182"/>
      <c r="AZ20" s="182"/>
      <c r="BA20" s="182"/>
      <c r="BB20" s="182"/>
      <c r="BC20" s="183"/>
      <c r="BD20" s="181"/>
      <c r="BE20" s="182"/>
      <c r="BF20" s="182"/>
      <c r="BG20" s="182"/>
      <c r="BH20" s="182"/>
      <c r="BI20" s="182"/>
      <c r="BJ20" s="183"/>
      <c r="BK20" s="29"/>
    </row>
    <row r="21" spans="1:63" ht="15" customHeight="1">
      <c r="A21" s="27"/>
      <c r="B21" s="154"/>
      <c r="C21" s="155"/>
      <c r="D21" s="155"/>
      <c r="E21" s="155"/>
      <c r="F21" s="155"/>
      <c r="G21" s="156"/>
      <c r="H21" s="160"/>
      <c r="I21" s="161"/>
      <c r="J21" s="161"/>
      <c r="K21" s="161"/>
      <c r="L21" s="161"/>
      <c r="M21" s="161"/>
      <c r="N21" s="162"/>
      <c r="O21" s="166"/>
      <c r="P21" s="167"/>
      <c r="Q21" s="167"/>
      <c r="R21" s="168"/>
      <c r="S21" s="172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4"/>
      <c r="AX21" s="178"/>
      <c r="AY21" s="179"/>
      <c r="AZ21" s="179"/>
      <c r="BA21" s="179"/>
      <c r="BB21" s="179"/>
      <c r="BC21" s="180"/>
      <c r="BD21" s="178"/>
      <c r="BE21" s="179"/>
      <c r="BF21" s="179"/>
      <c r="BG21" s="179"/>
      <c r="BH21" s="179"/>
      <c r="BI21" s="179"/>
      <c r="BJ21" s="180"/>
      <c r="BK21" s="29"/>
    </row>
    <row r="22" spans="1:63" ht="15" customHeight="1">
      <c r="A22" s="27"/>
      <c r="B22" s="157"/>
      <c r="C22" s="158"/>
      <c r="D22" s="158"/>
      <c r="E22" s="158"/>
      <c r="F22" s="158"/>
      <c r="G22" s="159"/>
      <c r="H22" s="163"/>
      <c r="I22" s="164"/>
      <c r="J22" s="164"/>
      <c r="K22" s="164"/>
      <c r="L22" s="164"/>
      <c r="M22" s="164"/>
      <c r="N22" s="165"/>
      <c r="O22" s="169"/>
      <c r="P22" s="170"/>
      <c r="Q22" s="170"/>
      <c r="R22" s="171"/>
      <c r="S22" s="175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7"/>
      <c r="AX22" s="181"/>
      <c r="AY22" s="182"/>
      <c r="AZ22" s="182"/>
      <c r="BA22" s="182"/>
      <c r="BB22" s="182"/>
      <c r="BC22" s="183"/>
      <c r="BD22" s="181"/>
      <c r="BE22" s="182"/>
      <c r="BF22" s="182"/>
      <c r="BG22" s="182"/>
      <c r="BH22" s="182"/>
      <c r="BI22" s="182"/>
      <c r="BJ22" s="183"/>
      <c r="BK22" s="29"/>
    </row>
    <row r="23" spans="1:63" ht="15" customHeight="1">
      <c r="A23" s="27"/>
      <c r="B23" s="154"/>
      <c r="C23" s="155"/>
      <c r="D23" s="155"/>
      <c r="E23" s="155"/>
      <c r="F23" s="155"/>
      <c r="G23" s="156"/>
      <c r="H23" s="160"/>
      <c r="I23" s="161"/>
      <c r="J23" s="161"/>
      <c r="K23" s="161"/>
      <c r="L23" s="161"/>
      <c r="M23" s="161"/>
      <c r="N23" s="162"/>
      <c r="O23" s="166"/>
      <c r="P23" s="167"/>
      <c r="Q23" s="167"/>
      <c r="R23" s="168"/>
      <c r="S23" s="172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4"/>
      <c r="AX23" s="184"/>
      <c r="AY23" s="185"/>
      <c r="AZ23" s="185"/>
      <c r="BA23" s="185"/>
      <c r="BB23" s="185"/>
      <c r="BC23" s="186"/>
      <c r="BD23" s="184"/>
      <c r="BE23" s="185"/>
      <c r="BF23" s="185"/>
      <c r="BG23" s="185"/>
      <c r="BH23" s="185"/>
      <c r="BI23" s="185"/>
      <c r="BJ23" s="186"/>
      <c r="BK23" s="29"/>
    </row>
    <row r="24" spans="1:63" ht="15" customHeight="1">
      <c r="A24" s="27"/>
      <c r="B24" s="157"/>
      <c r="C24" s="158"/>
      <c r="D24" s="158"/>
      <c r="E24" s="158"/>
      <c r="F24" s="158"/>
      <c r="G24" s="159"/>
      <c r="H24" s="163"/>
      <c r="I24" s="164"/>
      <c r="J24" s="164"/>
      <c r="K24" s="164"/>
      <c r="L24" s="164"/>
      <c r="M24" s="164"/>
      <c r="N24" s="165"/>
      <c r="O24" s="169"/>
      <c r="P24" s="170"/>
      <c r="Q24" s="170"/>
      <c r="R24" s="171"/>
      <c r="S24" s="175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7"/>
      <c r="AX24" s="187"/>
      <c r="AY24" s="188"/>
      <c r="AZ24" s="188"/>
      <c r="BA24" s="188"/>
      <c r="BB24" s="188"/>
      <c r="BC24" s="189"/>
      <c r="BD24" s="187"/>
      <c r="BE24" s="188"/>
      <c r="BF24" s="188"/>
      <c r="BG24" s="188"/>
      <c r="BH24" s="188"/>
      <c r="BI24" s="188"/>
      <c r="BJ24" s="189"/>
      <c r="BK24" s="29"/>
    </row>
    <row r="25" spans="1:63" ht="15" customHeight="1">
      <c r="A25" s="27"/>
      <c r="B25" s="154"/>
      <c r="C25" s="155"/>
      <c r="D25" s="155"/>
      <c r="E25" s="155"/>
      <c r="F25" s="155"/>
      <c r="G25" s="156"/>
      <c r="H25" s="160"/>
      <c r="I25" s="161"/>
      <c r="J25" s="161"/>
      <c r="K25" s="161"/>
      <c r="L25" s="161"/>
      <c r="M25" s="161"/>
      <c r="N25" s="162"/>
      <c r="O25" s="166"/>
      <c r="P25" s="167"/>
      <c r="Q25" s="167"/>
      <c r="R25" s="168"/>
      <c r="S25" s="172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4"/>
      <c r="AX25" s="178"/>
      <c r="AY25" s="179"/>
      <c r="AZ25" s="179"/>
      <c r="BA25" s="179"/>
      <c r="BB25" s="179"/>
      <c r="BC25" s="180"/>
      <c r="BD25" s="178"/>
      <c r="BE25" s="179"/>
      <c r="BF25" s="179"/>
      <c r="BG25" s="179"/>
      <c r="BH25" s="179"/>
      <c r="BI25" s="179"/>
      <c r="BJ25" s="180"/>
      <c r="BK25" s="29"/>
    </row>
    <row r="26" spans="1:63" ht="15" customHeight="1">
      <c r="A26" s="27"/>
      <c r="B26" s="157"/>
      <c r="C26" s="158"/>
      <c r="D26" s="158"/>
      <c r="E26" s="158"/>
      <c r="F26" s="158"/>
      <c r="G26" s="159"/>
      <c r="H26" s="163"/>
      <c r="I26" s="164"/>
      <c r="J26" s="164"/>
      <c r="K26" s="164"/>
      <c r="L26" s="164"/>
      <c r="M26" s="164"/>
      <c r="N26" s="165"/>
      <c r="O26" s="169"/>
      <c r="P26" s="170"/>
      <c r="Q26" s="170"/>
      <c r="R26" s="171"/>
      <c r="S26" s="175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7"/>
      <c r="AX26" s="181"/>
      <c r="AY26" s="182"/>
      <c r="AZ26" s="182"/>
      <c r="BA26" s="182"/>
      <c r="BB26" s="182"/>
      <c r="BC26" s="183"/>
      <c r="BD26" s="181"/>
      <c r="BE26" s="182"/>
      <c r="BF26" s="182"/>
      <c r="BG26" s="182"/>
      <c r="BH26" s="182"/>
      <c r="BI26" s="182"/>
      <c r="BJ26" s="183"/>
      <c r="BK26" s="29"/>
    </row>
    <row r="27" spans="1:63" ht="34.5" customHeight="1">
      <c r="A27" s="27"/>
      <c r="B27" s="154"/>
      <c r="C27" s="155"/>
      <c r="D27" s="155"/>
      <c r="E27" s="155"/>
      <c r="F27" s="155"/>
      <c r="G27" s="156"/>
      <c r="H27" s="160"/>
      <c r="I27" s="161"/>
      <c r="J27" s="161"/>
      <c r="K27" s="161"/>
      <c r="L27" s="161"/>
      <c r="M27" s="161"/>
      <c r="N27" s="162"/>
      <c r="O27" s="166"/>
      <c r="P27" s="167"/>
      <c r="Q27" s="167"/>
      <c r="R27" s="168"/>
      <c r="S27" s="202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178"/>
      <c r="AY27" s="179"/>
      <c r="AZ27" s="179"/>
      <c r="BA27" s="179"/>
      <c r="BB27" s="179"/>
      <c r="BC27" s="180"/>
      <c r="BD27" s="178"/>
      <c r="BE27" s="179"/>
      <c r="BF27" s="179"/>
      <c r="BG27" s="179"/>
      <c r="BH27" s="179"/>
      <c r="BI27" s="179"/>
      <c r="BJ27" s="180"/>
      <c r="BK27" s="29"/>
    </row>
    <row r="28" spans="1:63" ht="15" customHeight="1">
      <c r="A28" s="27"/>
      <c r="B28" s="190"/>
      <c r="C28" s="191"/>
      <c r="D28" s="191"/>
      <c r="E28" s="191"/>
      <c r="F28" s="191"/>
      <c r="G28" s="192"/>
      <c r="H28" s="193"/>
      <c r="I28" s="194"/>
      <c r="J28" s="194"/>
      <c r="K28" s="194"/>
      <c r="L28" s="194"/>
      <c r="M28" s="194"/>
      <c r="N28" s="195"/>
      <c r="O28" s="196"/>
      <c r="P28" s="197"/>
      <c r="Q28" s="197"/>
      <c r="R28" s="198"/>
      <c r="S28" s="175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7"/>
      <c r="AX28" s="199"/>
      <c r="AY28" s="200"/>
      <c r="AZ28" s="200"/>
      <c r="BA28" s="200"/>
      <c r="BB28" s="200"/>
      <c r="BC28" s="201"/>
      <c r="BD28" s="199"/>
      <c r="BE28" s="200"/>
      <c r="BF28" s="200"/>
      <c r="BG28" s="200"/>
      <c r="BH28" s="200"/>
      <c r="BI28" s="200"/>
      <c r="BJ28" s="201"/>
      <c r="BK28" s="29"/>
    </row>
    <row r="29" spans="1:63" ht="15" customHeight="1">
      <c r="A29" s="27"/>
      <c r="B29" s="157"/>
      <c r="C29" s="158"/>
      <c r="D29" s="158"/>
      <c r="E29" s="158"/>
      <c r="F29" s="158"/>
      <c r="G29" s="159"/>
      <c r="H29" s="163"/>
      <c r="I29" s="164"/>
      <c r="J29" s="164"/>
      <c r="K29" s="164"/>
      <c r="L29" s="164"/>
      <c r="M29" s="164"/>
      <c r="N29" s="165"/>
      <c r="O29" s="169"/>
      <c r="P29" s="170"/>
      <c r="Q29" s="170"/>
      <c r="R29" s="171"/>
      <c r="S29" s="175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7"/>
      <c r="AX29" s="181"/>
      <c r="AY29" s="182"/>
      <c r="AZ29" s="182"/>
      <c r="BA29" s="182"/>
      <c r="BB29" s="182"/>
      <c r="BC29" s="183"/>
      <c r="BD29" s="181"/>
      <c r="BE29" s="182"/>
      <c r="BF29" s="182"/>
      <c r="BG29" s="182"/>
      <c r="BH29" s="182"/>
      <c r="BI29" s="182"/>
      <c r="BJ29" s="183"/>
      <c r="BK29" s="29"/>
    </row>
    <row r="30" spans="1:63" ht="18.75">
      <c r="A30" s="27"/>
      <c r="B30" s="154"/>
      <c r="C30" s="155"/>
      <c r="D30" s="155"/>
      <c r="E30" s="155"/>
      <c r="F30" s="155"/>
      <c r="G30" s="156"/>
      <c r="H30" s="160"/>
      <c r="I30" s="161"/>
      <c r="J30" s="161"/>
      <c r="K30" s="161"/>
      <c r="L30" s="161"/>
      <c r="M30" s="161"/>
      <c r="N30" s="162"/>
      <c r="O30" s="166"/>
      <c r="P30" s="167"/>
      <c r="Q30" s="167"/>
      <c r="R30" s="168"/>
      <c r="S30" s="202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4"/>
      <c r="AX30" s="178"/>
      <c r="AY30" s="179"/>
      <c r="AZ30" s="179"/>
      <c r="BA30" s="179"/>
      <c r="BB30" s="179"/>
      <c r="BC30" s="180"/>
      <c r="BD30" s="178"/>
      <c r="BE30" s="179"/>
      <c r="BF30" s="179"/>
      <c r="BG30" s="179"/>
      <c r="BH30" s="179"/>
      <c r="BI30" s="179"/>
      <c r="BJ30" s="180"/>
      <c r="BK30" s="29"/>
    </row>
    <row r="31" spans="1:63" ht="18.75" customHeight="1">
      <c r="A31" s="27"/>
      <c r="B31" s="157"/>
      <c r="C31" s="158"/>
      <c r="D31" s="158"/>
      <c r="E31" s="158"/>
      <c r="F31" s="158"/>
      <c r="G31" s="159"/>
      <c r="H31" s="163"/>
      <c r="I31" s="164"/>
      <c r="J31" s="164"/>
      <c r="K31" s="164"/>
      <c r="L31" s="164"/>
      <c r="M31" s="164"/>
      <c r="N31" s="165"/>
      <c r="O31" s="169"/>
      <c r="P31" s="170"/>
      <c r="Q31" s="170"/>
      <c r="R31" s="171"/>
      <c r="S31" s="175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7"/>
      <c r="AX31" s="181"/>
      <c r="AY31" s="182"/>
      <c r="AZ31" s="182"/>
      <c r="BA31" s="182"/>
      <c r="BB31" s="182"/>
      <c r="BC31" s="183"/>
      <c r="BD31" s="181"/>
      <c r="BE31" s="182"/>
      <c r="BF31" s="182"/>
      <c r="BG31" s="182"/>
      <c r="BH31" s="182"/>
      <c r="BI31" s="182"/>
      <c r="BJ31" s="183"/>
      <c r="BK31" s="29"/>
    </row>
    <row r="32" spans="1:63" ht="15" customHeight="1">
      <c r="A32" s="27"/>
      <c r="B32" s="154"/>
      <c r="C32" s="155"/>
      <c r="D32" s="155"/>
      <c r="E32" s="155"/>
      <c r="F32" s="155"/>
      <c r="G32" s="156"/>
      <c r="H32" s="160"/>
      <c r="I32" s="161"/>
      <c r="J32" s="161"/>
      <c r="K32" s="161"/>
      <c r="L32" s="161"/>
      <c r="M32" s="161"/>
      <c r="N32" s="162"/>
      <c r="O32" s="166"/>
      <c r="P32" s="167"/>
      <c r="Q32" s="167"/>
      <c r="R32" s="168"/>
      <c r="S32" s="172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4"/>
      <c r="AX32" s="178"/>
      <c r="AY32" s="179"/>
      <c r="AZ32" s="179"/>
      <c r="BA32" s="179"/>
      <c r="BB32" s="179"/>
      <c r="BC32" s="180"/>
      <c r="BD32" s="178"/>
      <c r="BE32" s="179"/>
      <c r="BF32" s="179"/>
      <c r="BG32" s="179"/>
      <c r="BH32" s="179"/>
      <c r="BI32" s="179"/>
      <c r="BJ32" s="180"/>
      <c r="BK32" s="29"/>
    </row>
    <row r="33" spans="1:63" ht="15" customHeight="1">
      <c r="A33" s="27"/>
      <c r="B33" s="190"/>
      <c r="C33" s="191"/>
      <c r="D33" s="191"/>
      <c r="E33" s="191"/>
      <c r="F33" s="191"/>
      <c r="G33" s="192"/>
      <c r="H33" s="193"/>
      <c r="I33" s="194"/>
      <c r="J33" s="194"/>
      <c r="K33" s="194"/>
      <c r="L33" s="194"/>
      <c r="M33" s="194"/>
      <c r="N33" s="195"/>
      <c r="O33" s="196"/>
      <c r="P33" s="197"/>
      <c r="Q33" s="197"/>
      <c r="R33" s="198"/>
      <c r="S33" s="208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10"/>
      <c r="AX33" s="199"/>
      <c r="AY33" s="200"/>
      <c r="AZ33" s="200"/>
      <c r="BA33" s="200"/>
      <c r="BB33" s="200"/>
      <c r="BC33" s="201"/>
      <c r="BD33" s="199"/>
      <c r="BE33" s="200"/>
      <c r="BF33" s="200"/>
      <c r="BG33" s="200"/>
      <c r="BH33" s="200"/>
      <c r="BI33" s="200"/>
      <c r="BJ33" s="201"/>
      <c r="BK33" s="29"/>
    </row>
    <row r="34" spans="1:63" ht="15" customHeight="1">
      <c r="A34" s="27"/>
      <c r="B34" s="190"/>
      <c r="C34" s="191"/>
      <c r="D34" s="191"/>
      <c r="E34" s="191"/>
      <c r="F34" s="191"/>
      <c r="G34" s="192"/>
      <c r="H34" s="193"/>
      <c r="I34" s="194"/>
      <c r="J34" s="194"/>
      <c r="K34" s="194"/>
      <c r="L34" s="194"/>
      <c r="M34" s="194"/>
      <c r="N34" s="195"/>
      <c r="O34" s="196"/>
      <c r="P34" s="197"/>
      <c r="Q34" s="197"/>
      <c r="R34" s="198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199"/>
      <c r="AY34" s="200"/>
      <c r="AZ34" s="200"/>
      <c r="BA34" s="200"/>
      <c r="BB34" s="200"/>
      <c r="BC34" s="201"/>
      <c r="BD34" s="199"/>
      <c r="BE34" s="200"/>
      <c r="BF34" s="200"/>
      <c r="BG34" s="200"/>
      <c r="BH34" s="200"/>
      <c r="BI34" s="200"/>
      <c r="BJ34" s="201"/>
      <c r="BK34" s="29"/>
    </row>
    <row r="35" spans="1:63" ht="15" customHeight="1">
      <c r="A35" s="27"/>
      <c r="B35" s="190"/>
      <c r="C35" s="191"/>
      <c r="D35" s="191"/>
      <c r="E35" s="191"/>
      <c r="F35" s="191"/>
      <c r="G35" s="192"/>
      <c r="H35" s="193"/>
      <c r="I35" s="194"/>
      <c r="J35" s="194"/>
      <c r="K35" s="194"/>
      <c r="L35" s="194"/>
      <c r="M35" s="194"/>
      <c r="N35" s="195"/>
      <c r="O35" s="196"/>
      <c r="P35" s="197"/>
      <c r="Q35" s="197"/>
      <c r="R35" s="198"/>
      <c r="S35" s="211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7"/>
      <c r="AX35" s="199"/>
      <c r="AY35" s="200"/>
      <c r="AZ35" s="200"/>
      <c r="BA35" s="200"/>
      <c r="BB35" s="200"/>
      <c r="BC35" s="201"/>
      <c r="BD35" s="199"/>
      <c r="BE35" s="200"/>
      <c r="BF35" s="200"/>
      <c r="BG35" s="200"/>
      <c r="BH35" s="200"/>
      <c r="BI35" s="200"/>
      <c r="BJ35" s="201"/>
      <c r="BK35" s="29"/>
    </row>
    <row r="36" spans="1:63" ht="15" customHeight="1">
      <c r="A36" s="27"/>
      <c r="B36" s="154"/>
      <c r="C36" s="155"/>
      <c r="D36" s="155"/>
      <c r="E36" s="155"/>
      <c r="F36" s="155"/>
      <c r="G36" s="156"/>
      <c r="H36" s="160"/>
      <c r="I36" s="161"/>
      <c r="J36" s="161"/>
      <c r="K36" s="161"/>
      <c r="L36" s="161"/>
      <c r="M36" s="161"/>
      <c r="N36" s="162"/>
      <c r="O36" s="166"/>
      <c r="P36" s="167"/>
      <c r="Q36" s="167"/>
      <c r="R36" s="168"/>
      <c r="S36" s="79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1"/>
      <c r="AX36" s="184"/>
      <c r="AY36" s="185"/>
      <c r="AZ36" s="185"/>
      <c r="BA36" s="185"/>
      <c r="BB36" s="185"/>
      <c r="BC36" s="186"/>
      <c r="BD36" s="184"/>
      <c r="BE36" s="185"/>
      <c r="BF36" s="185"/>
      <c r="BG36" s="185"/>
      <c r="BH36" s="185"/>
      <c r="BI36" s="185"/>
      <c r="BJ36" s="186"/>
      <c r="BK36" s="29"/>
    </row>
    <row r="37" spans="1:63" ht="15" customHeight="1">
      <c r="A37" s="27"/>
      <c r="B37" s="190"/>
      <c r="C37" s="191"/>
      <c r="D37" s="191"/>
      <c r="E37" s="191"/>
      <c r="F37" s="191"/>
      <c r="G37" s="192"/>
      <c r="H37" s="193"/>
      <c r="I37" s="194"/>
      <c r="J37" s="194"/>
      <c r="K37" s="194"/>
      <c r="L37" s="194"/>
      <c r="M37" s="194"/>
      <c r="N37" s="195"/>
      <c r="O37" s="196"/>
      <c r="P37" s="197"/>
      <c r="Q37" s="197"/>
      <c r="R37" s="198"/>
      <c r="S37" s="82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4"/>
      <c r="AX37" s="205"/>
      <c r="AY37" s="206"/>
      <c r="AZ37" s="206"/>
      <c r="BA37" s="206"/>
      <c r="BB37" s="206"/>
      <c r="BC37" s="207"/>
      <c r="BD37" s="205"/>
      <c r="BE37" s="206"/>
      <c r="BF37" s="206"/>
      <c r="BG37" s="206"/>
      <c r="BH37" s="206"/>
      <c r="BI37" s="206"/>
      <c r="BJ37" s="207"/>
      <c r="BK37" s="29"/>
    </row>
    <row r="38" spans="1:63" ht="15" customHeight="1">
      <c r="A38" s="27"/>
      <c r="B38" s="157"/>
      <c r="C38" s="158"/>
      <c r="D38" s="158"/>
      <c r="E38" s="158"/>
      <c r="F38" s="158"/>
      <c r="G38" s="159"/>
      <c r="H38" s="163"/>
      <c r="I38" s="164"/>
      <c r="J38" s="164"/>
      <c r="K38" s="164"/>
      <c r="L38" s="164"/>
      <c r="M38" s="164"/>
      <c r="N38" s="165"/>
      <c r="O38" s="169"/>
      <c r="P38" s="170"/>
      <c r="Q38" s="170"/>
      <c r="R38" s="171"/>
      <c r="S38" s="85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7"/>
      <c r="AX38" s="187"/>
      <c r="AY38" s="188"/>
      <c r="AZ38" s="188"/>
      <c r="BA38" s="188"/>
      <c r="BB38" s="188"/>
      <c r="BC38" s="189"/>
      <c r="BD38" s="187"/>
      <c r="BE38" s="188"/>
      <c r="BF38" s="188"/>
      <c r="BG38" s="188"/>
      <c r="BH38" s="188"/>
      <c r="BI38" s="188"/>
      <c r="BJ38" s="189"/>
      <c r="BK38" s="29"/>
    </row>
    <row r="39" spans="1:63" ht="15" customHeight="1">
      <c r="A39" s="27"/>
      <c r="B39" s="230"/>
      <c r="C39" s="231"/>
      <c r="D39" s="231"/>
      <c r="E39" s="231"/>
      <c r="F39" s="231"/>
      <c r="G39" s="232"/>
      <c r="H39" s="239"/>
      <c r="I39" s="240"/>
      <c r="J39" s="240"/>
      <c r="K39" s="240"/>
      <c r="L39" s="240"/>
      <c r="M39" s="240"/>
      <c r="N39" s="241"/>
      <c r="O39" s="248"/>
      <c r="P39" s="249"/>
      <c r="Q39" s="249"/>
      <c r="R39" s="250"/>
      <c r="S39" s="257"/>
      <c r="T39" s="258"/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8"/>
      <c r="AH39" s="258"/>
      <c r="AI39" s="258"/>
      <c r="AJ39" s="258"/>
      <c r="AK39" s="258"/>
      <c r="AL39" s="258"/>
      <c r="AM39" s="258"/>
      <c r="AN39" s="258"/>
      <c r="AO39" s="258"/>
      <c r="AP39" s="258"/>
      <c r="AQ39" s="258"/>
      <c r="AR39" s="258"/>
      <c r="AS39" s="258"/>
      <c r="AT39" s="258"/>
      <c r="AU39" s="258"/>
      <c r="AV39" s="258"/>
      <c r="AW39" s="259"/>
      <c r="AX39" s="184"/>
      <c r="AY39" s="185"/>
      <c r="AZ39" s="185"/>
      <c r="BA39" s="185"/>
      <c r="BB39" s="185"/>
      <c r="BC39" s="186"/>
      <c r="BD39" s="184"/>
      <c r="BE39" s="185"/>
      <c r="BF39" s="185"/>
      <c r="BG39" s="185"/>
      <c r="BH39" s="185"/>
      <c r="BI39" s="185"/>
      <c r="BJ39" s="186"/>
      <c r="BK39" s="29"/>
    </row>
    <row r="40" spans="1:63" ht="15" customHeight="1">
      <c r="A40" s="27"/>
      <c r="B40" s="233"/>
      <c r="C40" s="234"/>
      <c r="D40" s="234"/>
      <c r="E40" s="234"/>
      <c r="F40" s="234"/>
      <c r="G40" s="235"/>
      <c r="H40" s="242"/>
      <c r="I40" s="243"/>
      <c r="J40" s="243"/>
      <c r="K40" s="243"/>
      <c r="L40" s="243"/>
      <c r="M40" s="243"/>
      <c r="N40" s="244"/>
      <c r="O40" s="251"/>
      <c r="P40" s="252"/>
      <c r="Q40" s="252"/>
      <c r="R40" s="253"/>
      <c r="S40" s="269"/>
      <c r="T40" s="270"/>
      <c r="U40" s="270"/>
      <c r="V40" s="270"/>
      <c r="W40" s="270"/>
      <c r="X40" s="270"/>
      <c r="Y40" s="270"/>
      <c r="Z40" s="270"/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K40" s="270"/>
      <c r="AL40" s="270"/>
      <c r="AM40" s="270"/>
      <c r="AN40" s="270"/>
      <c r="AO40" s="270"/>
      <c r="AP40" s="270"/>
      <c r="AQ40" s="270"/>
      <c r="AR40" s="270"/>
      <c r="AS40" s="270"/>
      <c r="AT40" s="270"/>
      <c r="AU40" s="270"/>
      <c r="AV40" s="270"/>
      <c r="AW40" s="271"/>
      <c r="AX40" s="205"/>
      <c r="AY40" s="206"/>
      <c r="AZ40" s="206"/>
      <c r="BA40" s="206"/>
      <c r="BB40" s="206"/>
      <c r="BC40" s="207"/>
      <c r="BD40" s="205"/>
      <c r="BE40" s="206"/>
      <c r="BF40" s="206"/>
      <c r="BG40" s="206"/>
      <c r="BH40" s="206"/>
      <c r="BI40" s="206"/>
      <c r="BJ40" s="207"/>
      <c r="BK40" s="29"/>
    </row>
    <row r="41" spans="1:63" ht="15" customHeight="1">
      <c r="A41" s="27"/>
      <c r="B41" s="236"/>
      <c r="C41" s="237"/>
      <c r="D41" s="237"/>
      <c r="E41" s="237"/>
      <c r="F41" s="237"/>
      <c r="G41" s="238"/>
      <c r="H41" s="245"/>
      <c r="I41" s="246"/>
      <c r="J41" s="246"/>
      <c r="K41" s="246"/>
      <c r="L41" s="246"/>
      <c r="M41" s="246"/>
      <c r="N41" s="247"/>
      <c r="O41" s="254"/>
      <c r="P41" s="255"/>
      <c r="Q41" s="255"/>
      <c r="R41" s="256"/>
      <c r="S41" s="260"/>
      <c r="T41" s="261"/>
      <c r="U41" s="261"/>
      <c r="V41" s="261"/>
      <c r="W41" s="261"/>
      <c r="X41" s="261"/>
      <c r="Y41" s="261"/>
      <c r="Z41" s="261"/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  <c r="AV41" s="261"/>
      <c r="AW41" s="262"/>
      <c r="AX41" s="187"/>
      <c r="AY41" s="188"/>
      <c r="AZ41" s="188"/>
      <c r="BA41" s="188"/>
      <c r="BB41" s="188"/>
      <c r="BC41" s="189"/>
      <c r="BD41" s="187"/>
      <c r="BE41" s="188"/>
      <c r="BF41" s="188"/>
      <c r="BG41" s="188"/>
      <c r="BH41" s="188"/>
      <c r="BI41" s="188"/>
      <c r="BJ41" s="189"/>
      <c r="BK41" s="29"/>
    </row>
    <row r="42" spans="1:63" ht="15" customHeight="1">
      <c r="A42" s="27"/>
      <c r="B42" s="212"/>
      <c r="C42" s="213"/>
      <c r="D42" s="213"/>
      <c r="E42" s="213"/>
      <c r="F42" s="213"/>
      <c r="G42" s="214"/>
      <c r="H42" s="218"/>
      <c r="I42" s="219"/>
      <c r="J42" s="219"/>
      <c r="K42" s="219"/>
      <c r="L42" s="219"/>
      <c r="M42" s="219"/>
      <c r="N42" s="220"/>
      <c r="O42" s="224"/>
      <c r="P42" s="225"/>
      <c r="Q42" s="225"/>
      <c r="R42" s="226"/>
      <c r="S42" s="263"/>
      <c r="T42" s="264"/>
      <c r="U42" s="264"/>
      <c r="V42" s="264"/>
      <c r="W42" s="264"/>
      <c r="X42" s="264"/>
      <c r="Y42" s="264"/>
      <c r="Z42" s="264"/>
      <c r="AA42" s="264"/>
      <c r="AB42" s="264"/>
      <c r="AC42" s="264"/>
      <c r="AD42" s="264"/>
      <c r="AE42" s="264"/>
      <c r="AF42" s="264"/>
      <c r="AG42" s="264"/>
      <c r="AH42" s="264"/>
      <c r="AI42" s="264"/>
      <c r="AJ42" s="264"/>
      <c r="AK42" s="264"/>
      <c r="AL42" s="264"/>
      <c r="AM42" s="264"/>
      <c r="AN42" s="264"/>
      <c r="AO42" s="264"/>
      <c r="AP42" s="264"/>
      <c r="AQ42" s="264"/>
      <c r="AR42" s="264"/>
      <c r="AS42" s="264"/>
      <c r="AT42" s="264"/>
      <c r="AU42" s="264"/>
      <c r="AV42" s="264"/>
      <c r="AW42" s="265"/>
      <c r="AX42" s="178"/>
      <c r="AY42" s="179"/>
      <c r="AZ42" s="179"/>
      <c r="BA42" s="179"/>
      <c r="BB42" s="179"/>
      <c r="BC42" s="180"/>
      <c r="BD42" s="178"/>
      <c r="BE42" s="179"/>
      <c r="BF42" s="179"/>
      <c r="BG42" s="179"/>
      <c r="BH42" s="179"/>
      <c r="BI42" s="179"/>
      <c r="BJ42" s="180"/>
      <c r="BK42" s="29"/>
    </row>
    <row r="43" spans="1:63" ht="15" customHeight="1">
      <c r="A43" s="27"/>
      <c r="B43" s="215"/>
      <c r="C43" s="216"/>
      <c r="D43" s="216"/>
      <c r="E43" s="216"/>
      <c r="F43" s="216"/>
      <c r="G43" s="217"/>
      <c r="H43" s="221"/>
      <c r="I43" s="222"/>
      <c r="J43" s="222"/>
      <c r="K43" s="222"/>
      <c r="L43" s="222"/>
      <c r="M43" s="222"/>
      <c r="N43" s="223"/>
      <c r="O43" s="227"/>
      <c r="P43" s="228"/>
      <c r="Q43" s="228"/>
      <c r="R43" s="229"/>
      <c r="S43" s="266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L43" s="267"/>
      <c r="AM43" s="267"/>
      <c r="AN43" s="267"/>
      <c r="AO43" s="267"/>
      <c r="AP43" s="267"/>
      <c r="AQ43" s="267"/>
      <c r="AR43" s="267"/>
      <c r="AS43" s="267"/>
      <c r="AT43" s="267"/>
      <c r="AU43" s="267"/>
      <c r="AV43" s="267"/>
      <c r="AW43" s="268"/>
      <c r="AX43" s="181"/>
      <c r="AY43" s="182"/>
      <c r="AZ43" s="182"/>
      <c r="BA43" s="182"/>
      <c r="BB43" s="182"/>
      <c r="BC43" s="183"/>
      <c r="BD43" s="181"/>
      <c r="BE43" s="182"/>
      <c r="BF43" s="182"/>
      <c r="BG43" s="182"/>
      <c r="BH43" s="182"/>
      <c r="BI43" s="182"/>
      <c r="BJ43" s="183"/>
      <c r="BK43" s="29"/>
    </row>
    <row r="44" spans="1:63" ht="15" customHeight="1">
      <c r="A44" s="27"/>
      <c r="B44" s="290"/>
      <c r="C44" s="291"/>
      <c r="D44" s="291"/>
      <c r="E44" s="291"/>
      <c r="F44" s="291"/>
      <c r="G44" s="292"/>
      <c r="H44" s="299"/>
      <c r="I44" s="300"/>
      <c r="J44" s="300"/>
      <c r="K44" s="300"/>
      <c r="L44" s="300"/>
      <c r="M44" s="300"/>
      <c r="N44" s="301"/>
      <c r="O44" s="308"/>
      <c r="P44" s="309"/>
      <c r="Q44" s="309"/>
      <c r="R44" s="310"/>
      <c r="S44" s="317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9"/>
      <c r="AX44" s="178"/>
      <c r="AY44" s="179"/>
      <c r="AZ44" s="179"/>
      <c r="BA44" s="179"/>
      <c r="BB44" s="179"/>
      <c r="BC44" s="180"/>
      <c r="BD44" s="178"/>
      <c r="BE44" s="179"/>
      <c r="BF44" s="179"/>
      <c r="BG44" s="179"/>
      <c r="BH44" s="179"/>
      <c r="BI44" s="179"/>
      <c r="BJ44" s="180"/>
      <c r="BK44" s="29"/>
    </row>
    <row r="45" spans="1:63" ht="15" customHeight="1">
      <c r="A45" s="27"/>
      <c r="B45" s="293"/>
      <c r="C45" s="294"/>
      <c r="D45" s="294"/>
      <c r="E45" s="294"/>
      <c r="F45" s="294"/>
      <c r="G45" s="295"/>
      <c r="H45" s="302"/>
      <c r="I45" s="303"/>
      <c r="J45" s="303"/>
      <c r="K45" s="303"/>
      <c r="L45" s="303"/>
      <c r="M45" s="303"/>
      <c r="N45" s="304"/>
      <c r="O45" s="311"/>
      <c r="P45" s="312"/>
      <c r="Q45" s="312"/>
      <c r="R45" s="313"/>
      <c r="S45" s="326"/>
      <c r="T45" s="327"/>
      <c r="U45" s="327"/>
      <c r="V45" s="327"/>
      <c r="W45" s="327"/>
      <c r="X45" s="327"/>
      <c r="Y45" s="327"/>
      <c r="Z45" s="327"/>
      <c r="AA45" s="327"/>
      <c r="AB45" s="327"/>
      <c r="AC45" s="327"/>
      <c r="AD45" s="327"/>
      <c r="AE45" s="327"/>
      <c r="AF45" s="327"/>
      <c r="AG45" s="327"/>
      <c r="AH45" s="327"/>
      <c r="AI45" s="327"/>
      <c r="AJ45" s="327"/>
      <c r="AK45" s="327"/>
      <c r="AL45" s="327"/>
      <c r="AM45" s="327"/>
      <c r="AN45" s="327"/>
      <c r="AO45" s="327"/>
      <c r="AP45" s="327"/>
      <c r="AQ45" s="327"/>
      <c r="AR45" s="327"/>
      <c r="AS45" s="327"/>
      <c r="AT45" s="327"/>
      <c r="AU45" s="327"/>
      <c r="AV45" s="327"/>
      <c r="AW45" s="328"/>
      <c r="AX45" s="199"/>
      <c r="AY45" s="200"/>
      <c r="AZ45" s="200"/>
      <c r="BA45" s="200"/>
      <c r="BB45" s="200"/>
      <c r="BC45" s="201"/>
      <c r="BD45" s="199"/>
      <c r="BE45" s="200"/>
      <c r="BF45" s="200"/>
      <c r="BG45" s="200"/>
      <c r="BH45" s="200"/>
      <c r="BI45" s="200"/>
      <c r="BJ45" s="201"/>
      <c r="BK45" s="29"/>
    </row>
    <row r="46" spans="1:63" ht="15" customHeight="1">
      <c r="A46" s="27"/>
      <c r="B46" s="296"/>
      <c r="C46" s="297"/>
      <c r="D46" s="297"/>
      <c r="E46" s="297"/>
      <c r="F46" s="297"/>
      <c r="G46" s="298"/>
      <c r="H46" s="305"/>
      <c r="I46" s="306"/>
      <c r="J46" s="306"/>
      <c r="K46" s="306"/>
      <c r="L46" s="306"/>
      <c r="M46" s="306"/>
      <c r="N46" s="307"/>
      <c r="O46" s="314"/>
      <c r="P46" s="315"/>
      <c r="Q46" s="315"/>
      <c r="R46" s="316"/>
      <c r="S46" s="320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  <c r="AN46" s="321"/>
      <c r="AO46" s="321"/>
      <c r="AP46" s="321"/>
      <c r="AQ46" s="321"/>
      <c r="AR46" s="321"/>
      <c r="AS46" s="321"/>
      <c r="AT46" s="321"/>
      <c r="AU46" s="321"/>
      <c r="AV46" s="321"/>
      <c r="AW46" s="322"/>
      <c r="AX46" s="181"/>
      <c r="AY46" s="182"/>
      <c r="AZ46" s="182"/>
      <c r="BA46" s="182"/>
      <c r="BB46" s="182"/>
      <c r="BC46" s="183"/>
      <c r="BD46" s="181"/>
      <c r="BE46" s="182"/>
      <c r="BF46" s="182"/>
      <c r="BG46" s="182"/>
      <c r="BH46" s="182"/>
      <c r="BI46" s="182"/>
      <c r="BJ46" s="183"/>
      <c r="BK46" s="29"/>
    </row>
    <row r="47" spans="1:63" ht="15" customHeight="1">
      <c r="A47" s="27"/>
      <c r="B47" s="272"/>
      <c r="C47" s="273"/>
      <c r="D47" s="273"/>
      <c r="E47" s="273"/>
      <c r="F47" s="273"/>
      <c r="G47" s="274"/>
      <c r="H47" s="278"/>
      <c r="I47" s="279"/>
      <c r="J47" s="279"/>
      <c r="K47" s="279"/>
      <c r="L47" s="279"/>
      <c r="M47" s="279"/>
      <c r="N47" s="280"/>
      <c r="O47" s="284"/>
      <c r="P47" s="285"/>
      <c r="Q47" s="285"/>
      <c r="R47" s="286"/>
      <c r="S47" s="323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  <c r="AD47" s="324"/>
      <c r="AE47" s="324"/>
      <c r="AF47" s="324"/>
      <c r="AG47" s="324"/>
      <c r="AH47" s="324"/>
      <c r="AI47" s="324"/>
      <c r="AJ47" s="324"/>
      <c r="AK47" s="324"/>
      <c r="AL47" s="324"/>
      <c r="AM47" s="324"/>
      <c r="AN47" s="324"/>
      <c r="AO47" s="324"/>
      <c r="AP47" s="324"/>
      <c r="AQ47" s="324"/>
      <c r="AR47" s="324"/>
      <c r="AS47" s="324"/>
      <c r="AT47" s="324"/>
      <c r="AU47" s="324"/>
      <c r="AV47" s="324"/>
      <c r="AW47" s="325"/>
      <c r="AX47" s="178"/>
      <c r="AY47" s="179"/>
      <c r="AZ47" s="179"/>
      <c r="BA47" s="179"/>
      <c r="BB47" s="179"/>
      <c r="BC47" s="180"/>
      <c r="BD47" s="178"/>
      <c r="BE47" s="179"/>
      <c r="BF47" s="179"/>
      <c r="BG47" s="179"/>
      <c r="BH47" s="179"/>
      <c r="BI47" s="179"/>
      <c r="BJ47" s="180"/>
      <c r="BK47" s="29"/>
    </row>
    <row r="48" spans="1:63" ht="15" customHeight="1">
      <c r="A48" s="27"/>
      <c r="B48" s="275"/>
      <c r="C48" s="276"/>
      <c r="D48" s="276"/>
      <c r="E48" s="276"/>
      <c r="F48" s="276"/>
      <c r="G48" s="277"/>
      <c r="H48" s="281"/>
      <c r="I48" s="282"/>
      <c r="J48" s="282"/>
      <c r="K48" s="282"/>
      <c r="L48" s="282"/>
      <c r="M48" s="282"/>
      <c r="N48" s="283"/>
      <c r="O48" s="287"/>
      <c r="P48" s="288"/>
      <c r="Q48" s="288"/>
      <c r="R48" s="289"/>
      <c r="S48" s="175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7"/>
      <c r="AX48" s="181"/>
      <c r="AY48" s="182"/>
      <c r="AZ48" s="182"/>
      <c r="BA48" s="182"/>
      <c r="BB48" s="182"/>
      <c r="BC48" s="183"/>
      <c r="BD48" s="181"/>
      <c r="BE48" s="182"/>
      <c r="BF48" s="182"/>
      <c r="BG48" s="182"/>
      <c r="BH48" s="182"/>
      <c r="BI48" s="182"/>
      <c r="BJ48" s="183"/>
      <c r="BK48" s="29"/>
    </row>
    <row r="49" spans="1:63" s="92" customFormat="1" ht="15" customHeight="1">
      <c r="A49" s="90"/>
      <c r="B49" s="347"/>
      <c r="C49" s="348"/>
      <c r="D49" s="348"/>
      <c r="E49" s="348"/>
      <c r="F49" s="348"/>
      <c r="G49" s="349"/>
      <c r="H49" s="353"/>
      <c r="I49" s="354"/>
      <c r="J49" s="354"/>
      <c r="K49" s="354"/>
      <c r="L49" s="354"/>
      <c r="M49" s="354"/>
      <c r="N49" s="355"/>
      <c r="O49" s="359"/>
      <c r="P49" s="360"/>
      <c r="Q49" s="360"/>
      <c r="R49" s="361"/>
      <c r="S49" s="371"/>
      <c r="T49" s="372"/>
      <c r="U49" s="372"/>
      <c r="V49" s="372"/>
      <c r="W49" s="372"/>
      <c r="X49" s="372"/>
      <c r="Y49" s="372"/>
      <c r="Z49" s="372"/>
      <c r="AA49" s="372"/>
      <c r="AB49" s="372"/>
      <c r="AC49" s="372"/>
      <c r="AD49" s="372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  <c r="AO49" s="372"/>
      <c r="AP49" s="372"/>
      <c r="AQ49" s="372"/>
      <c r="AR49" s="372"/>
      <c r="AS49" s="372"/>
      <c r="AT49" s="372"/>
      <c r="AU49" s="372"/>
      <c r="AV49" s="372"/>
      <c r="AW49" s="373"/>
      <c r="AX49" s="365"/>
      <c r="AY49" s="366"/>
      <c r="AZ49" s="366"/>
      <c r="BA49" s="366"/>
      <c r="BB49" s="366"/>
      <c r="BC49" s="367"/>
      <c r="BD49" s="365"/>
      <c r="BE49" s="366"/>
      <c r="BF49" s="366"/>
      <c r="BG49" s="366"/>
      <c r="BH49" s="366"/>
      <c r="BI49" s="366"/>
      <c r="BJ49" s="367"/>
      <c r="BK49" s="91"/>
    </row>
    <row r="50" spans="1:63" s="92" customFormat="1" ht="15" customHeight="1">
      <c r="A50" s="90"/>
      <c r="B50" s="350"/>
      <c r="C50" s="351"/>
      <c r="D50" s="351"/>
      <c r="E50" s="351"/>
      <c r="F50" s="351"/>
      <c r="G50" s="352"/>
      <c r="H50" s="356"/>
      <c r="I50" s="357"/>
      <c r="J50" s="357"/>
      <c r="K50" s="357"/>
      <c r="L50" s="357"/>
      <c r="M50" s="357"/>
      <c r="N50" s="358"/>
      <c r="O50" s="362"/>
      <c r="P50" s="363"/>
      <c r="Q50" s="363"/>
      <c r="R50" s="364"/>
      <c r="S50" s="374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  <c r="AK50" s="375"/>
      <c r="AL50" s="375"/>
      <c r="AM50" s="375"/>
      <c r="AN50" s="375"/>
      <c r="AO50" s="375"/>
      <c r="AP50" s="375"/>
      <c r="AQ50" s="375"/>
      <c r="AR50" s="375"/>
      <c r="AS50" s="375"/>
      <c r="AT50" s="375"/>
      <c r="AU50" s="375"/>
      <c r="AV50" s="375"/>
      <c r="AW50" s="376"/>
      <c r="AX50" s="368"/>
      <c r="AY50" s="369"/>
      <c r="AZ50" s="369"/>
      <c r="BA50" s="369"/>
      <c r="BB50" s="369"/>
      <c r="BC50" s="370"/>
      <c r="BD50" s="368"/>
      <c r="BE50" s="369"/>
      <c r="BF50" s="369"/>
      <c r="BG50" s="369"/>
      <c r="BH50" s="369"/>
      <c r="BI50" s="369"/>
      <c r="BJ50" s="370"/>
      <c r="BK50" s="91"/>
    </row>
    <row r="51" spans="1:63" ht="15" customHeight="1">
      <c r="A51" s="27"/>
      <c r="B51" s="329"/>
      <c r="C51" s="330"/>
      <c r="D51" s="330"/>
      <c r="E51" s="330"/>
      <c r="F51" s="330"/>
      <c r="G51" s="331"/>
      <c r="H51" s="335"/>
      <c r="I51" s="336"/>
      <c r="J51" s="336"/>
      <c r="K51" s="336"/>
      <c r="L51" s="336"/>
      <c r="M51" s="336"/>
      <c r="N51" s="337"/>
      <c r="O51" s="341"/>
      <c r="P51" s="342"/>
      <c r="Q51" s="342"/>
      <c r="R51" s="343"/>
      <c r="S51" s="377"/>
      <c r="T51" s="378"/>
      <c r="U51" s="378"/>
      <c r="V51" s="378"/>
      <c r="W51" s="378"/>
      <c r="X51" s="378"/>
      <c r="Y51" s="378"/>
      <c r="Z51" s="378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9"/>
      <c r="AX51" s="178"/>
      <c r="AY51" s="179"/>
      <c r="AZ51" s="179"/>
      <c r="BA51" s="179"/>
      <c r="BB51" s="179"/>
      <c r="BC51" s="180"/>
      <c r="BD51" s="178"/>
      <c r="BE51" s="179"/>
      <c r="BF51" s="179"/>
      <c r="BG51" s="179"/>
      <c r="BH51" s="179"/>
      <c r="BI51" s="179"/>
      <c r="BJ51" s="180"/>
      <c r="BK51" s="29"/>
    </row>
    <row r="52" spans="1:63" ht="15" customHeight="1">
      <c r="A52" s="27"/>
      <c r="B52" s="332"/>
      <c r="C52" s="333"/>
      <c r="D52" s="333"/>
      <c r="E52" s="333"/>
      <c r="F52" s="333"/>
      <c r="G52" s="334"/>
      <c r="H52" s="338"/>
      <c r="I52" s="339"/>
      <c r="J52" s="339"/>
      <c r="K52" s="339"/>
      <c r="L52" s="339"/>
      <c r="M52" s="339"/>
      <c r="N52" s="340"/>
      <c r="O52" s="344"/>
      <c r="P52" s="345"/>
      <c r="Q52" s="345"/>
      <c r="R52" s="346"/>
      <c r="S52" s="175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7"/>
      <c r="AX52" s="181"/>
      <c r="AY52" s="182"/>
      <c r="AZ52" s="182"/>
      <c r="BA52" s="182"/>
      <c r="BB52" s="182"/>
      <c r="BC52" s="183"/>
      <c r="BD52" s="181"/>
      <c r="BE52" s="182"/>
      <c r="BF52" s="182"/>
      <c r="BG52" s="182"/>
      <c r="BH52" s="182"/>
      <c r="BI52" s="182"/>
      <c r="BJ52" s="183"/>
      <c r="BK52" s="29"/>
    </row>
    <row r="53" spans="1:63" ht="15" customHeight="1">
      <c r="A53" s="27"/>
      <c r="B53" s="398"/>
      <c r="C53" s="399"/>
      <c r="D53" s="399"/>
      <c r="E53" s="399"/>
      <c r="F53" s="399"/>
      <c r="G53" s="400"/>
      <c r="H53" s="404"/>
      <c r="I53" s="405"/>
      <c r="J53" s="405"/>
      <c r="K53" s="405"/>
      <c r="L53" s="405"/>
      <c r="M53" s="405"/>
      <c r="N53" s="406"/>
      <c r="O53" s="410"/>
      <c r="P53" s="411"/>
      <c r="Q53" s="411"/>
      <c r="R53" s="412"/>
      <c r="S53" s="416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  <c r="AE53" s="417"/>
      <c r="AF53" s="417"/>
      <c r="AG53" s="417"/>
      <c r="AH53" s="417"/>
      <c r="AI53" s="417"/>
      <c r="AJ53" s="417"/>
      <c r="AK53" s="417"/>
      <c r="AL53" s="417"/>
      <c r="AM53" s="417"/>
      <c r="AN53" s="417"/>
      <c r="AO53" s="417"/>
      <c r="AP53" s="417"/>
      <c r="AQ53" s="417"/>
      <c r="AR53" s="417"/>
      <c r="AS53" s="417"/>
      <c r="AT53" s="417"/>
      <c r="AU53" s="417"/>
      <c r="AV53" s="417"/>
      <c r="AW53" s="418"/>
      <c r="AX53" s="178"/>
      <c r="AY53" s="179"/>
      <c r="AZ53" s="179"/>
      <c r="BA53" s="179"/>
      <c r="BB53" s="179"/>
      <c r="BC53" s="180"/>
      <c r="BD53" s="178"/>
      <c r="BE53" s="179"/>
      <c r="BF53" s="179"/>
      <c r="BG53" s="179"/>
      <c r="BH53" s="179"/>
      <c r="BI53" s="179"/>
      <c r="BJ53" s="180"/>
      <c r="BK53" s="29"/>
    </row>
    <row r="54" spans="1:63" ht="15" customHeight="1">
      <c r="A54" s="27"/>
      <c r="B54" s="401"/>
      <c r="C54" s="402"/>
      <c r="D54" s="402"/>
      <c r="E54" s="402"/>
      <c r="F54" s="402"/>
      <c r="G54" s="403"/>
      <c r="H54" s="407"/>
      <c r="I54" s="408"/>
      <c r="J54" s="408"/>
      <c r="K54" s="408"/>
      <c r="L54" s="408"/>
      <c r="M54" s="408"/>
      <c r="N54" s="409"/>
      <c r="O54" s="413"/>
      <c r="P54" s="414"/>
      <c r="Q54" s="414"/>
      <c r="R54" s="415"/>
      <c r="S54" s="419"/>
      <c r="T54" s="420"/>
      <c r="U54" s="420"/>
      <c r="V54" s="420"/>
      <c r="W54" s="420"/>
      <c r="X54" s="420"/>
      <c r="Y54" s="420"/>
      <c r="Z54" s="420"/>
      <c r="AA54" s="420"/>
      <c r="AB54" s="420"/>
      <c r="AC54" s="420"/>
      <c r="AD54" s="420"/>
      <c r="AE54" s="420"/>
      <c r="AF54" s="420"/>
      <c r="AG54" s="420"/>
      <c r="AH54" s="420"/>
      <c r="AI54" s="420"/>
      <c r="AJ54" s="420"/>
      <c r="AK54" s="420"/>
      <c r="AL54" s="420"/>
      <c r="AM54" s="420"/>
      <c r="AN54" s="420"/>
      <c r="AO54" s="420"/>
      <c r="AP54" s="420"/>
      <c r="AQ54" s="420"/>
      <c r="AR54" s="420"/>
      <c r="AS54" s="420"/>
      <c r="AT54" s="420"/>
      <c r="AU54" s="420"/>
      <c r="AV54" s="420"/>
      <c r="AW54" s="421"/>
      <c r="AX54" s="181"/>
      <c r="AY54" s="182"/>
      <c r="AZ54" s="182"/>
      <c r="BA54" s="182"/>
      <c r="BB54" s="182"/>
      <c r="BC54" s="183"/>
      <c r="BD54" s="181"/>
      <c r="BE54" s="182"/>
      <c r="BF54" s="182"/>
      <c r="BG54" s="182"/>
      <c r="BH54" s="182"/>
      <c r="BI54" s="182"/>
      <c r="BJ54" s="183"/>
      <c r="BK54" s="29"/>
    </row>
    <row r="55" spans="1:63" ht="15" customHeight="1">
      <c r="A55" s="27"/>
      <c r="B55" s="380"/>
      <c r="C55" s="381"/>
      <c r="D55" s="381"/>
      <c r="E55" s="381"/>
      <c r="F55" s="381"/>
      <c r="G55" s="382"/>
      <c r="H55" s="386"/>
      <c r="I55" s="387"/>
      <c r="J55" s="387"/>
      <c r="K55" s="387"/>
      <c r="L55" s="387"/>
      <c r="M55" s="387"/>
      <c r="N55" s="388"/>
      <c r="O55" s="392"/>
      <c r="P55" s="393"/>
      <c r="Q55" s="393"/>
      <c r="R55" s="394"/>
      <c r="S55" s="422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423"/>
      <c r="AG55" s="423"/>
      <c r="AH55" s="423"/>
      <c r="AI55" s="423"/>
      <c r="AJ55" s="423"/>
      <c r="AK55" s="423"/>
      <c r="AL55" s="423"/>
      <c r="AM55" s="423"/>
      <c r="AN55" s="423"/>
      <c r="AO55" s="423"/>
      <c r="AP55" s="423"/>
      <c r="AQ55" s="423"/>
      <c r="AR55" s="423"/>
      <c r="AS55" s="423"/>
      <c r="AT55" s="423"/>
      <c r="AU55" s="423"/>
      <c r="AV55" s="423"/>
      <c r="AW55" s="424"/>
      <c r="AX55" s="178"/>
      <c r="AY55" s="179"/>
      <c r="AZ55" s="179"/>
      <c r="BA55" s="179"/>
      <c r="BB55" s="179"/>
      <c r="BC55" s="180"/>
      <c r="BD55" s="178"/>
      <c r="BE55" s="179"/>
      <c r="BF55" s="179"/>
      <c r="BG55" s="179"/>
      <c r="BH55" s="179"/>
      <c r="BI55" s="179"/>
      <c r="BJ55" s="180"/>
      <c r="BK55" s="29"/>
    </row>
    <row r="56" spans="1:63" ht="15" customHeight="1">
      <c r="A56" s="27"/>
      <c r="B56" s="383"/>
      <c r="C56" s="384"/>
      <c r="D56" s="384"/>
      <c r="E56" s="384"/>
      <c r="F56" s="384"/>
      <c r="G56" s="385"/>
      <c r="H56" s="389"/>
      <c r="I56" s="390"/>
      <c r="J56" s="390"/>
      <c r="K56" s="390"/>
      <c r="L56" s="390"/>
      <c r="M56" s="390"/>
      <c r="N56" s="391"/>
      <c r="O56" s="395"/>
      <c r="P56" s="396"/>
      <c r="Q56" s="396"/>
      <c r="R56" s="397"/>
      <c r="S56" s="425"/>
      <c r="T56" s="426"/>
      <c r="U56" s="426"/>
      <c r="V56" s="426"/>
      <c r="W56" s="426"/>
      <c r="X56" s="426"/>
      <c r="Y56" s="426"/>
      <c r="Z56" s="426"/>
      <c r="AA56" s="426"/>
      <c r="AB56" s="426"/>
      <c r="AC56" s="426"/>
      <c r="AD56" s="426"/>
      <c r="AE56" s="426"/>
      <c r="AF56" s="426"/>
      <c r="AG56" s="426"/>
      <c r="AH56" s="426"/>
      <c r="AI56" s="426"/>
      <c r="AJ56" s="426"/>
      <c r="AK56" s="426"/>
      <c r="AL56" s="426"/>
      <c r="AM56" s="426"/>
      <c r="AN56" s="426"/>
      <c r="AO56" s="426"/>
      <c r="AP56" s="426"/>
      <c r="AQ56" s="426"/>
      <c r="AR56" s="426"/>
      <c r="AS56" s="426"/>
      <c r="AT56" s="426"/>
      <c r="AU56" s="426"/>
      <c r="AV56" s="426"/>
      <c r="AW56" s="427"/>
      <c r="AX56" s="181"/>
      <c r="AY56" s="182"/>
      <c r="AZ56" s="182"/>
      <c r="BA56" s="182"/>
      <c r="BB56" s="182"/>
      <c r="BC56" s="183"/>
      <c r="BD56" s="181"/>
      <c r="BE56" s="182"/>
      <c r="BF56" s="182"/>
      <c r="BG56" s="182"/>
      <c r="BH56" s="182"/>
      <c r="BI56" s="182"/>
      <c r="BJ56" s="183"/>
      <c r="BK56" s="29"/>
    </row>
    <row r="57" spans="1:63" ht="15" customHeight="1">
      <c r="A57" s="27"/>
      <c r="B57" s="154"/>
      <c r="C57" s="155"/>
      <c r="D57" s="155"/>
      <c r="E57" s="155"/>
      <c r="F57" s="155"/>
      <c r="G57" s="156"/>
      <c r="H57" s="160"/>
      <c r="I57" s="161"/>
      <c r="J57" s="161"/>
      <c r="K57" s="161"/>
      <c r="L57" s="161"/>
      <c r="M57" s="161"/>
      <c r="N57" s="162"/>
      <c r="O57" s="166"/>
      <c r="P57" s="167"/>
      <c r="Q57" s="167"/>
      <c r="R57" s="168"/>
      <c r="S57" s="172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  <c r="AP57" s="173"/>
      <c r="AQ57" s="173"/>
      <c r="AR57" s="173"/>
      <c r="AS57" s="173"/>
      <c r="AT57" s="173"/>
      <c r="AU57" s="173"/>
      <c r="AV57" s="173"/>
      <c r="AW57" s="174"/>
      <c r="AX57" s="178"/>
      <c r="AY57" s="179"/>
      <c r="AZ57" s="179"/>
      <c r="BA57" s="179"/>
      <c r="BB57" s="179"/>
      <c r="BC57" s="180"/>
      <c r="BD57" s="178"/>
      <c r="BE57" s="179"/>
      <c r="BF57" s="179"/>
      <c r="BG57" s="179"/>
      <c r="BH57" s="179"/>
      <c r="BI57" s="179"/>
      <c r="BJ57" s="180"/>
      <c r="BK57" s="29"/>
    </row>
    <row r="58" spans="1:63" ht="15" customHeight="1">
      <c r="A58" s="27"/>
      <c r="B58" s="157"/>
      <c r="C58" s="158"/>
      <c r="D58" s="158"/>
      <c r="E58" s="158"/>
      <c r="F58" s="158"/>
      <c r="G58" s="159"/>
      <c r="H58" s="163"/>
      <c r="I58" s="164"/>
      <c r="J58" s="164"/>
      <c r="K58" s="164"/>
      <c r="L58" s="164"/>
      <c r="M58" s="164"/>
      <c r="N58" s="165"/>
      <c r="O58" s="169"/>
      <c r="P58" s="170"/>
      <c r="Q58" s="170"/>
      <c r="R58" s="171"/>
      <c r="S58" s="175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7"/>
      <c r="AX58" s="181"/>
      <c r="AY58" s="182"/>
      <c r="AZ58" s="182"/>
      <c r="BA58" s="182"/>
      <c r="BB58" s="182"/>
      <c r="BC58" s="183"/>
      <c r="BD58" s="181"/>
      <c r="BE58" s="182"/>
      <c r="BF58" s="182"/>
      <c r="BG58" s="182"/>
      <c r="BH58" s="182"/>
      <c r="BI58" s="182"/>
      <c r="BJ58" s="183"/>
      <c r="BK58" s="29"/>
    </row>
    <row r="59" spans="1:63" ht="15" customHeight="1">
      <c r="A59" s="27"/>
      <c r="B59" s="154"/>
      <c r="C59" s="155"/>
      <c r="D59" s="155"/>
      <c r="E59" s="155"/>
      <c r="F59" s="155"/>
      <c r="G59" s="156"/>
      <c r="H59" s="160"/>
      <c r="I59" s="161"/>
      <c r="J59" s="161"/>
      <c r="K59" s="161"/>
      <c r="L59" s="161"/>
      <c r="M59" s="161"/>
      <c r="N59" s="162"/>
      <c r="O59" s="166"/>
      <c r="P59" s="167"/>
      <c r="Q59" s="167"/>
      <c r="R59" s="168"/>
      <c r="S59" s="172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4"/>
      <c r="AX59" s="178"/>
      <c r="AY59" s="179"/>
      <c r="AZ59" s="179"/>
      <c r="BA59" s="179"/>
      <c r="BB59" s="179"/>
      <c r="BC59" s="180"/>
      <c r="BD59" s="178"/>
      <c r="BE59" s="179"/>
      <c r="BF59" s="179"/>
      <c r="BG59" s="179"/>
      <c r="BH59" s="179"/>
      <c r="BI59" s="179"/>
      <c r="BJ59" s="180"/>
      <c r="BK59" s="29"/>
    </row>
    <row r="60" spans="1:63" ht="15" customHeight="1">
      <c r="A60" s="27"/>
      <c r="B60" s="157"/>
      <c r="C60" s="158"/>
      <c r="D60" s="158"/>
      <c r="E60" s="158"/>
      <c r="F60" s="158"/>
      <c r="G60" s="159"/>
      <c r="H60" s="163"/>
      <c r="I60" s="164"/>
      <c r="J60" s="164"/>
      <c r="K60" s="164"/>
      <c r="L60" s="164"/>
      <c r="M60" s="164"/>
      <c r="N60" s="165"/>
      <c r="O60" s="169"/>
      <c r="P60" s="170"/>
      <c r="Q60" s="170"/>
      <c r="R60" s="171"/>
      <c r="S60" s="175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7"/>
      <c r="AX60" s="181"/>
      <c r="AY60" s="182"/>
      <c r="AZ60" s="182"/>
      <c r="BA60" s="182"/>
      <c r="BB60" s="182"/>
      <c r="BC60" s="183"/>
      <c r="BD60" s="181"/>
      <c r="BE60" s="182"/>
      <c r="BF60" s="182"/>
      <c r="BG60" s="182"/>
      <c r="BH60" s="182"/>
      <c r="BI60" s="182"/>
      <c r="BJ60" s="183"/>
      <c r="BK60" s="29"/>
    </row>
    <row r="61" spans="1:63" ht="15" customHeight="1">
      <c r="A61" s="3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6"/>
    </row>
  </sheetData>
  <mergeCells count="179">
    <mergeCell ref="AX10:BC10"/>
    <mergeCell ref="BD10:BJ10"/>
    <mergeCell ref="AX11:BC12"/>
    <mergeCell ref="BD11:BJ12"/>
    <mergeCell ref="AX13:BC14"/>
    <mergeCell ref="BD13:BJ14"/>
    <mergeCell ref="AX15:BC16"/>
    <mergeCell ref="BD15:BJ16"/>
    <mergeCell ref="AX17:BC18"/>
    <mergeCell ref="BD17:BJ18"/>
    <mergeCell ref="B59:G60"/>
    <mergeCell ref="H59:N60"/>
    <mergeCell ref="O59:R60"/>
    <mergeCell ref="B57:G58"/>
    <mergeCell ref="H57:N58"/>
    <mergeCell ref="O57:R58"/>
    <mergeCell ref="AX57:BC58"/>
    <mergeCell ref="BD57:BJ58"/>
    <mergeCell ref="AX59:BC60"/>
    <mergeCell ref="BD59:BJ60"/>
    <mergeCell ref="S57:AW57"/>
    <mergeCell ref="S58:AW58"/>
    <mergeCell ref="S59:AW59"/>
    <mergeCell ref="S60:AW60"/>
    <mergeCell ref="B55:G56"/>
    <mergeCell ref="H55:N56"/>
    <mergeCell ref="O55:R56"/>
    <mergeCell ref="B53:G54"/>
    <mergeCell ref="H53:N54"/>
    <mergeCell ref="O53:R54"/>
    <mergeCell ref="AX53:BC54"/>
    <mergeCell ref="BD53:BJ54"/>
    <mergeCell ref="AX55:BC56"/>
    <mergeCell ref="BD55:BJ56"/>
    <mergeCell ref="S53:AW53"/>
    <mergeCell ref="S54:AW54"/>
    <mergeCell ref="S55:AW55"/>
    <mergeCell ref="S56:AW56"/>
    <mergeCell ref="B51:G52"/>
    <mergeCell ref="H51:N52"/>
    <mergeCell ref="O51:R52"/>
    <mergeCell ref="B49:G50"/>
    <mergeCell ref="H49:N50"/>
    <mergeCell ref="O49:R50"/>
    <mergeCell ref="AX49:BC50"/>
    <mergeCell ref="BD49:BJ50"/>
    <mergeCell ref="AX51:BC52"/>
    <mergeCell ref="BD51:BJ52"/>
    <mergeCell ref="S49:AW49"/>
    <mergeCell ref="S50:AW50"/>
    <mergeCell ref="S51:AW51"/>
    <mergeCell ref="S52:AW52"/>
    <mergeCell ref="B47:G48"/>
    <mergeCell ref="H47:N48"/>
    <mergeCell ref="O47:R48"/>
    <mergeCell ref="B44:G46"/>
    <mergeCell ref="H44:N46"/>
    <mergeCell ref="O44:R46"/>
    <mergeCell ref="AX44:BC46"/>
    <mergeCell ref="BD44:BJ46"/>
    <mergeCell ref="AX47:BC48"/>
    <mergeCell ref="BD47:BJ48"/>
    <mergeCell ref="S44:AW44"/>
    <mergeCell ref="S46:AW46"/>
    <mergeCell ref="S47:AW47"/>
    <mergeCell ref="S48:AW48"/>
    <mergeCell ref="S45:AW45"/>
    <mergeCell ref="B42:G43"/>
    <mergeCell ref="H42:N43"/>
    <mergeCell ref="O42:R43"/>
    <mergeCell ref="B39:G41"/>
    <mergeCell ref="H39:N41"/>
    <mergeCell ref="O39:R41"/>
    <mergeCell ref="AX39:BC41"/>
    <mergeCell ref="BD39:BJ41"/>
    <mergeCell ref="AX42:BC43"/>
    <mergeCell ref="BD42:BJ43"/>
    <mergeCell ref="S39:AW39"/>
    <mergeCell ref="S41:AW41"/>
    <mergeCell ref="S42:AW42"/>
    <mergeCell ref="S43:AW43"/>
    <mergeCell ref="S40:AW40"/>
    <mergeCell ref="B36:G38"/>
    <mergeCell ref="H36:N38"/>
    <mergeCell ref="O36:R38"/>
    <mergeCell ref="B32:G35"/>
    <mergeCell ref="H32:N35"/>
    <mergeCell ref="O32:R35"/>
    <mergeCell ref="AX32:BC35"/>
    <mergeCell ref="BD32:BJ35"/>
    <mergeCell ref="AX36:BC38"/>
    <mergeCell ref="BD36:BJ38"/>
    <mergeCell ref="S32:AW32"/>
    <mergeCell ref="S33:AW33"/>
    <mergeCell ref="S34:AW34"/>
    <mergeCell ref="S35:AW35"/>
    <mergeCell ref="B27:G29"/>
    <mergeCell ref="H27:N29"/>
    <mergeCell ref="O27:R29"/>
    <mergeCell ref="AX27:BC29"/>
    <mergeCell ref="BD27:BJ29"/>
    <mergeCell ref="S27:AW27"/>
    <mergeCell ref="S29:AW29"/>
    <mergeCell ref="S28:AW28"/>
    <mergeCell ref="B30:G31"/>
    <mergeCell ref="H30:N31"/>
    <mergeCell ref="O30:R31"/>
    <mergeCell ref="S30:AW30"/>
    <mergeCell ref="AX30:BC31"/>
    <mergeCell ref="BD30:BJ31"/>
    <mergeCell ref="S31:AW31"/>
    <mergeCell ref="B25:G26"/>
    <mergeCell ref="H25:N26"/>
    <mergeCell ref="O25:R26"/>
    <mergeCell ref="B23:G24"/>
    <mergeCell ref="H23:N24"/>
    <mergeCell ref="O23:R24"/>
    <mergeCell ref="AX23:BC24"/>
    <mergeCell ref="BD23:BJ24"/>
    <mergeCell ref="AX25:BC26"/>
    <mergeCell ref="BD25:BJ26"/>
    <mergeCell ref="S23:AW23"/>
    <mergeCell ref="S24:AW24"/>
    <mergeCell ref="S25:AW25"/>
    <mergeCell ref="S26:AW26"/>
    <mergeCell ref="B21:G22"/>
    <mergeCell ref="H21:N22"/>
    <mergeCell ref="O21:R22"/>
    <mergeCell ref="B19:G20"/>
    <mergeCell ref="H19:N20"/>
    <mergeCell ref="O19:R20"/>
    <mergeCell ref="AX19:BC20"/>
    <mergeCell ref="BD19:BJ20"/>
    <mergeCell ref="AX21:BC22"/>
    <mergeCell ref="BD21:BJ22"/>
    <mergeCell ref="S19:AW19"/>
    <mergeCell ref="S20:AW20"/>
    <mergeCell ref="S21:AW21"/>
    <mergeCell ref="S22:AW22"/>
    <mergeCell ref="B17:G18"/>
    <mergeCell ref="H17:N18"/>
    <mergeCell ref="O17:R18"/>
    <mergeCell ref="B15:G16"/>
    <mergeCell ref="H15:N16"/>
    <mergeCell ref="O15:R16"/>
    <mergeCell ref="S15:AW15"/>
    <mergeCell ref="S16:AW16"/>
    <mergeCell ref="S17:AW17"/>
    <mergeCell ref="S18:AW18"/>
    <mergeCell ref="B13:G14"/>
    <mergeCell ref="H13:N14"/>
    <mergeCell ref="O13:R14"/>
    <mergeCell ref="B11:G12"/>
    <mergeCell ref="H11:N12"/>
    <mergeCell ref="O11:R12"/>
    <mergeCell ref="S11:AW11"/>
    <mergeCell ref="S12:AW12"/>
    <mergeCell ref="S13:AW13"/>
    <mergeCell ref="S14:AW14"/>
    <mergeCell ref="AP4:BK4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phoneticPr fontId="4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K239"/>
  <sheetViews>
    <sheetView view="pageBreakPreview" zoomScaleNormal="75" zoomScaleSheetLayoutView="100" workbookViewId="0">
      <selection sqref="A1:J1"/>
    </sheetView>
  </sheetViews>
  <sheetFormatPr defaultColWidth="8.88671875" defaultRowHeight="13.5"/>
  <cols>
    <col min="1" max="63" width="2.77734375" style="1" customWidth="1"/>
    <col min="64" max="64" width="8.88671875" style="1" customWidth="1"/>
    <col min="65" max="16384" width="8.88671875" style="1"/>
  </cols>
  <sheetData>
    <row r="1" spans="1:63" customFormat="1" ht="24.95" customHeight="1">
      <c r="A1" s="137" t="s">
        <v>79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80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IF(Bìa!W1="","",Bìa!W1)</f>
        <v>TKDB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37" t="s">
        <v>84</v>
      </c>
      <c r="AQ1" s="138"/>
      <c r="AR1" s="138"/>
      <c r="AS1" s="139"/>
      <c r="AT1" s="137" t="s">
        <v>85</v>
      </c>
      <c r="AU1" s="138"/>
      <c r="AV1" s="138"/>
      <c r="AW1" s="138"/>
      <c r="AX1" s="139"/>
      <c r="AY1" s="137" t="s">
        <v>86</v>
      </c>
      <c r="AZ1" s="138"/>
      <c r="BA1" s="138"/>
      <c r="BB1" s="139"/>
      <c r="BC1" s="137" t="s">
        <v>87</v>
      </c>
      <c r="BD1" s="138"/>
      <c r="BE1" s="138"/>
      <c r="BF1" s="138"/>
      <c r="BG1" s="139"/>
      <c r="BH1" s="137" t="s">
        <v>88</v>
      </c>
      <c r="BI1" s="138"/>
      <c r="BJ1" s="138"/>
      <c r="BK1" s="139"/>
    </row>
    <row r="2" spans="1:63" customFormat="1" ht="15" customHeight="1">
      <c r="A2" s="101" t="str">
        <f>IF(Bìa!A2="","",Bìa!A2)</f>
        <v>Manager User</v>
      </c>
      <c r="B2" s="102"/>
      <c r="C2" s="102"/>
      <c r="D2" s="102"/>
      <c r="E2" s="102"/>
      <c r="F2" s="102"/>
      <c r="G2" s="102"/>
      <c r="H2" s="102"/>
      <c r="I2" s="102"/>
      <c r="J2" s="103"/>
      <c r="K2" s="101" t="str">
        <f>IF(Bìa!K2="","",Bìa!K2)</f>
        <v>14_Thiết kế DB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01" t="str">
        <f>IF(Bìa!AP2="","",Bìa!AP2)</f>
        <v>ThanhPD</v>
      </c>
      <c r="AQ2" s="102"/>
      <c r="AR2" s="102"/>
      <c r="AS2" s="103"/>
      <c r="AT2" s="107">
        <f>IF(Bìa!AT2="","",Bìa!AT2)</f>
        <v>44930</v>
      </c>
      <c r="AU2" s="108"/>
      <c r="AV2" s="108"/>
      <c r="AW2" s="108"/>
      <c r="AX2" s="109"/>
      <c r="AY2" s="101" t="str">
        <f>IF(Bìa!AY2="","",Bìa!AY2)</f>
        <v>ThanhPD</v>
      </c>
      <c r="AZ2" s="102"/>
      <c r="BA2" s="102"/>
      <c r="BB2" s="103"/>
      <c r="BC2" s="107">
        <f>IF(Bìa!BC2="","",Bìa!BC2)</f>
        <v>44930</v>
      </c>
      <c r="BD2" s="108"/>
      <c r="BE2" s="108"/>
      <c r="BF2" s="108"/>
      <c r="BG2" s="109"/>
      <c r="BH2" s="101">
        <f>IF(Bìa!BH2="","",Bìa!BH2)</f>
        <v>0.1</v>
      </c>
      <c r="BI2" s="102"/>
      <c r="BJ2" s="102"/>
      <c r="BK2" s="103"/>
    </row>
    <row r="3" spans="1:63" customFormat="1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104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customFormat="1" ht="24.95" customHeight="1">
      <c r="A4" s="137" t="s">
        <v>81</v>
      </c>
      <c r="B4" s="138"/>
      <c r="C4" s="138"/>
      <c r="D4" s="138"/>
      <c r="E4" s="138"/>
      <c r="F4" s="138"/>
      <c r="G4" s="139"/>
      <c r="H4" s="123" t="str">
        <f>IF(Bìa!H4="","",Bìa!H4)</f>
        <v/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37" t="s">
        <v>82</v>
      </c>
      <c r="V4" s="138"/>
      <c r="W4" s="138"/>
      <c r="X4" s="138"/>
      <c r="Y4" s="139"/>
      <c r="Z4" s="123" t="str">
        <f>IF(Bìa!Z4="","",Bìa!Z4)</f>
        <v>ー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5"/>
      <c r="AP4" s="123" t="s">
        <v>98</v>
      </c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5"/>
    </row>
    <row r="5" spans="1:63" customFormat="1" ht="5.0999999999999996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s="5" customFormat="1" ht="15" customHeight="1">
      <c r="A6" s="22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23"/>
    </row>
    <row r="7" spans="1:63" s="5" customFormat="1" ht="15" customHeight="1">
      <c r="A7" s="22"/>
      <c r="B7" s="3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23"/>
    </row>
    <row r="8" spans="1:63" s="5" customFormat="1" ht="15" customHeight="1">
      <c r="A8" s="22"/>
      <c r="B8" s="37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23"/>
    </row>
    <row r="9" spans="1:63" s="5" customFormat="1" ht="15" customHeight="1">
      <c r="A9" s="22"/>
      <c r="B9" s="37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s="23"/>
    </row>
    <row r="10" spans="1:63" s="5" customFormat="1" ht="15" customHeight="1">
      <c r="A10" s="22"/>
      <c r="B10" s="37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 s="23"/>
    </row>
    <row r="11" spans="1:63" s="5" customFormat="1" ht="15" customHeight="1">
      <c r="A11" s="22"/>
      <c r="B11" s="37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 s="23"/>
    </row>
    <row r="12" spans="1:63" s="5" customFormat="1" ht="15" customHeight="1">
      <c r="A12" s="22"/>
      <c r="B12" s="37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s="23"/>
    </row>
    <row r="13" spans="1:63" s="5" customFormat="1" ht="15" customHeight="1">
      <c r="A13" s="22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s="23"/>
    </row>
    <row r="14" spans="1:63" s="5" customFormat="1" ht="15" customHeight="1">
      <c r="A14" s="22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 s="23"/>
    </row>
    <row r="15" spans="1:63" s="5" customFormat="1" ht="15" customHeight="1">
      <c r="A15" s="22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 s="23"/>
    </row>
    <row r="16" spans="1:63" s="5" customFormat="1" ht="15" customHeight="1">
      <c r="A16" s="22"/>
      <c r="B16"/>
      <c r="C16"/>
      <c r="D16"/>
      <c r="E16"/>
      <c r="F16"/>
      <c r="G16"/>
      <c r="H16"/>
      <c r="I16" s="93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 s="23"/>
    </row>
    <row r="17" spans="1:63" s="5" customFormat="1" ht="15" customHeight="1">
      <c r="A17" s="22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 s="23"/>
    </row>
    <row r="18" spans="1:63" s="5" customFormat="1" ht="15" customHeight="1">
      <c r="A18" s="22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 s="23"/>
    </row>
    <row r="19" spans="1:63" s="5" customFormat="1" ht="15" customHeight="1">
      <c r="A19" s="22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 s="23"/>
    </row>
    <row r="20" spans="1:63" s="5" customFormat="1" ht="15" customHeight="1">
      <c r="A20" s="2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 s="23"/>
    </row>
    <row r="21" spans="1:63" s="5" customFormat="1" ht="15" customHeight="1">
      <c r="A21" s="22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 s="23"/>
    </row>
    <row r="22" spans="1:63" s="5" customFormat="1" ht="15" customHeight="1">
      <c r="A22" s="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 s="23"/>
    </row>
    <row r="23" spans="1:63" ht="15" customHeight="1">
      <c r="A23" s="22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 s="23"/>
    </row>
    <row r="24" spans="1:63" ht="15" customHeight="1">
      <c r="A24" s="22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 s="23"/>
    </row>
    <row r="25" spans="1:63" ht="15" customHeight="1">
      <c r="A25" s="22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 s="23"/>
    </row>
    <row r="26" spans="1:63" ht="15" customHeight="1">
      <c r="A26" s="22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s="23"/>
    </row>
    <row r="27" spans="1:63" ht="15" customHeight="1">
      <c r="A27" s="22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 s="23"/>
    </row>
    <row r="28" spans="1:63" ht="15" customHeight="1">
      <c r="A28" s="22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 s="23"/>
    </row>
    <row r="29" spans="1:63" ht="15" customHeight="1">
      <c r="A29" s="22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 s="23"/>
    </row>
    <row r="30" spans="1:63" ht="15" customHeight="1">
      <c r="A30" s="22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 s="23"/>
    </row>
    <row r="31" spans="1:63" ht="15" customHeight="1">
      <c r="A31" s="22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s="23"/>
    </row>
    <row r="32" spans="1:63" ht="15" customHeight="1">
      <c r="A32" s="2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 s="23"/>
    </row>
    <row r="33" spans="1:63" ht="15" customHeight="1">
      <c r="A33" s="22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s="23"/>
    </row>
    <row r="34" spans="1:63" ht="15" customHeight="1">
      <c r="A34" s="22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s="23"/>
    </row>
    <row r="35" spans="1:63" ht="15" customHeight="1">
      <c r="A35" s="22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 s="23"/>
    </row>
    <row r="36" spans="1:63" ht="15" customHeight="1">
      <c r="A36" s="2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23"/>
    </row>
    <row r="37" spans="1:63" ht="15" customHeight="1">
      <c r="A37" s="22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23"/>
    </row>
    <row r="38" spans="1:63" ht="15" customHeight="1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6"/>
    </row>
    <row r="39" spans="1:63" ht="15" customHeight="1">
      <c r="A39" s="2"/>
      <c r="BK39" s="3"/>
    </row>
    <row r="40" spans="1:63" ht="15" customHeight="1">
      <c r="A40" s="2"/>
      <c r="BK40" s="3"/>
    </row>
    <row r="41" spans="1:63" ht="15" customHeight="1"/>
    <row r="42" spans="1:63" ht="15" customHeight="1"/>
    <row r="43" spans="1:63" ht="15" customHeight="1"/>
    <row r="44" spans="1:63" ht="15" customHeight="1"/>
    <row r="45" spans="1:63" ht="15" customHeight="1"/>
    <row r="46" spans="1:63" ht="15" customHeight="1"/>
    <row r="47" spans="1:63" ht="15" customHeight="1"/>
    <row r="48" spans="1:6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4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K252"/>
  <sheetViews>
    <sheetView view="pageBreakPreview" zoomScaleNormal="75" zoomScaleSheetLayoutView="100" workbookViewId="0">
      <selection sqref="A1:J1"/>
    </sheetView>
  </sheetViews>
  <sheetFormatPr defaultColWidth="8.88671875" defaultRowHeight="13.5"/>
  <cols>
    <col min="1" max="63" width="2.77734375" style="1" customWidth="1"/>
    <col min="64" max="64" width="8.88671875" style="1" customWidth="1"/>
    <col min="65" max="16384" width="8.88671875" style="1"/>
  </cols>
  <sheetData>
    <row r="1" spans="1:63" customFormat="1" ht="24.95" customHeight="1">
      <c r="A1" s="137" t="s">
        <v>79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80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IF(Bìa!W1="","",Bìa!W1)</f>
        <v>TKDB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37" t="s">
        <v>100</v>
      </c>
      <c r="AQ1" s="138"/>
      <c r="AR1" s="138"/>
      <c r="AS1" s="139"/>
      <c r="AT1" s="137" t="s">
        <v>85</v>
      </c>
      <c r="AU1" s="138"/>
      <c r="AV1" s="138"/>
      <c r="AW1" s="138"/>
      <c r="AX1" s="139"/>
      <c r="AY1" s="137" t="s">
        <v>86</v>
      </c>
      <c r="AZ1" s="138"/>
      <c r="BA1" s="138"/>
      <c r="BB1" s="139"/>
      <c r="BC1" s="137" t="s">
        <v>87</v>
      </c>
      <c r="BD1" s="138"/>
      <c r="BE1" s="138"/>
      <c r="BF1" s="138"/>
      <c r="BG1" s="139"/>
      <c r="BH1" s="137" t="s">
        <v>88</v>
      </c>
      <c r="BI1" s="138"/>
      <c r="BJ1" s="138"/>
      <c r="BK1" s="139"/>
    </row>
    <row r="2" spans="1:63" customFormat="1" ht="15" customHeight="1">
      <c r="A2" s="101" t="str">
        <f>IF(Bìa!A2="","",Bìa!A2)</f>
        <v>Manager User</v>
      </c>
      <c r="B2" s="102"/>
      <c r="C2" s="102"/>
      <c r="D2" s="102"/>
      <c r="E2" s="102"/>
      <c r="F2" s="102"/>
      <c r="G2" s="102"/>
      <c r="H2" s="102"/>
      <c r="I2" s="102"/>
      <c r="J2" s="103"/>
      <c r="K2" s="101" t="str">
        <f>IF(Bìa!K2="","",Bìa!K2)</f>
        <v>14_Thiết kế DB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01" t="str">
        <f>IF(Bìa!AP2="","",Bìa!AP2)</f>
        <v>ThanhPD</v>
      </c>
      <c r="AQ2" s="102"/>
      <c r="AR2" s="102"/>
      <c r="AS2" s="103"/>
      <c r="AT2" s="107">
        <f>IF(Bìa!AT2="","",Bìa!AT2)</f>
        <v>44930</v>
      </c>
      <c r="AU2" s="108"/>
      <c r="AV2" s="108"/>
      <c r="AW2" s="108"/>
      <c r="AX2" s="109"/>
      <c r="AY2" s="101" t="str">
        <f>IF(Bìa!AY2="","",Bìa!AY2)</f>
        <v>ThanhPD</v>
      </c>
      <c r="AZ2" s="102"/>
      <c r="BA2" s="102"/>
      <c r="BB2" s="103"/>
      <c r="BC2" s="107">
        <f>IF(Bìa!BC2="","",Bìa!BC2)</f>
        <v>44930</v>
      </c>
      <c r="BD2" s="108"/>
      <c r="BE2" s="108"/>
      <c r="BF2" s="108"/>
      <c r="BG2" s="109"/>
      <c r="BH2" s="101">
        <f>IF(Bìa!BH2="","",Bìa!BH2)</f>
        <v>0.1</v>
      </c>
      <c r="BI2" s="102"/>
      <c r="BJ2" s="102"/>
      <c r="BK2" s="103"/>
    </row>
    <row r="3" spans="1:63" customFormat="1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104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customFormat="1" ht="24.95" customHeight="1">
      <c r="A4" s="137" t="s">
        <v>81</v>
      </c>
      <c r="B4" s="138"/>
      <c r="C4" s="138"/>
      <c r="D4" s="138"/>
      <c r="E4" s="138"/>
      <c r="F4" s="138"/>
      <c r="G4" s="139"/>
      <c r="H4" s="123" t="str">
        <f>IF(Bìa!H4="","",Bìa!H4)</f>
        <v/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37" t="s">
        <v>82</v>
      </c>
      <c r="V4" s="138"/>
      <c r="W4" s="138"/>
      <c r="X4" s="138"/>
      <c r="Y4" s="139"/>
      <c r="Z4" s="123" t="str">
        <f>IF(Bìa!Z4="","",Bìa!Z4)</f>
        <v>ー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5"/>
      <c r="AP4" s="123" t="s">
        <v>99</v>
      </c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5"/>
    </row>
    <row r="5" spans="1:63" customFormat="1" ht="5.0999999999999996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>
      <c r="A6" s="22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23"/>
    </row>
    <row r="7" spans="1:63" ht="15" customHeight="1">
      <c r="A7" s="22"/>
      <c r="B7"/>
      <c r="C7"/>
      <c r="D7" s="93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23"/>
    </row>
    <row r="8" spans="1:63" ht="15" customHeight="1">
      <c r="A8" s="22"/>
      <c r="B8" s="95" t="s">
        <v>71</v>
      </c>
      <c r="C8" s="95"/>
      <c r="D8" s="95"/>
      <c r="E8" s="95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/>
      <c r="BB8"/>
      <c r="BC8"/>
      <c r="BD8"/>
      <c r="BE8"/>
      <c r="BF8"/>
      <c r="BG8"/>
      <c r="BH8"/>
      <c r="BI8"/>
      <c r="BJ8"/>
      <c r="BK8" s="23"/>
    </row>
    <row r="9" spans="1:63" ht="15" customHeight="1">
      <c r="A9" s="2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/>
      <c r="BB9"/>
      <c r="BC9"/>
      <c r="BD9"/>
      <c r="BE9"/>
      <c r="BF9"/>
      <c r="BG9"/>
      <c r="BH9"/>
      <c r="BI9"/>
      <c r="BJ9"/>
      <c r="BK9" s="23"/>
    </row>
    <row r="10" spans="1:63" ht="15" customHeight="1">
      <c r="A10" s="22"/>
      <c r="B10" s="71" t="s">
        <v>29</v>
      </c>
      <c r="C10" s="73"/>
      <c r="D10" s="96" t="s">
        <v>69</v>
      </c>
      <c r="E10" s="97"/>
      <c r="F10" s="97"/>
      <c r="G10" s="97"/>
      <c r="H10" s="72"/>
      <c r="I10" s="72"/>
      <c r="J10" s="72"/>
      <c r="K10" s="72"/>
      <c r="L10" s="72"/>
      <c r="M10" s="72"/>
      <c r="N10" s="72"/>
      <c r="O10" s="73"/>
      <c r="P10" s="96" t="s">
        <v>70</v>
      </c>
      <c r="Q10" s="97"/>
      <c r="R10" s="97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3"/>
      <c r="AP10" s="64"/>
      <c r="AQ10" s="72"/>
      <c r="AR10" s="72"/>
      <c r="AS10" s="72"/>
      <c r="AT10" s="72"/>
      <c r="AU10" s="72"/>
      <c r="AV10" s="72"/>
      <c r="AW10" s="72"/>
      <c r="AX10" s="72"/>
      <c r="AY10" s="72"/>
      <c r="AZ10" s="73"/>
      <c r="BA10" s="38"/>
      <c r="BB10" s="38"/>
      <c r="BC10" s="38"/>
      <c r="BD10" s="38"/>
      <c r="BE10"/>
      <c r="BF10"/>
      <c r="BG10"/>
      <c r="BH10"/>
      <c r="BI10"/>
      <c r="BJ10"/>
      <c r="BK10" s="23"/>
    </row>
    <row r="11" spans="1:63" ht="15" customHeight="1">
      <c r="A11" s="22"/>
      <c r="B11" s="433">
        <v>1</v>
      </c>
      <c r="C11" s="434"/>
      <c r="D11" s="59" t="s">
        <v>102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8"/>
      <c r="P11" s="59" t="s">
        <v>46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9"/>
      <c r="AQ11" s="57"/>
      <c r="AR11" s="57"/>
      <c r="AS11" s="57"/>
      <c r="AT11" s="57"/>
      <c r="AU11" s="57"/>
      <c r="AV11" s="57"/>
      <c r="AW11" s="57"/>
      <c r="AX11" s="57"/>
      <c r="AY11" s="57"/>
      <c r="AZ11" s="58"/>
      <c r="BA11"/>
      <c r="BB11"/>
      <c r="BC11"/>
      <c r="BD11"/>
      <c r="BE11"/>
      <c r="BF11"/>
      <c r="BG11"/>
      <c r="BH11"/>
      <c r="BI11"/>
      <c r="BJ11"/>
      <c r="BK11" s="23"/>
    </row>
    <row r="12" spans="1:63" ht="15" customHeight="1">
      <c r="A12" s="22"/>
      <c r="B12" s="431">
        <f>B11+1</f>
        <v>2</v>
      </c>
      <c r="C12" s="432"/>
      <c r="D12" s="46" t="s">
        <v>31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  <c r="P12" s="46" t="s">
        <v>5</v>
      </c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8"/>
      <c r="AP12" s="46"/>
      <c r="AQ12" s="47"/>
      <c r="AR12" s="47"/>
      <c r="AS12" s="47"/>
      <c r="AT12" s="47"/>
      <c r="AU12" s="47"/>
      <c r="AV12" s="47"/>
      <c r="AW12" s="47"/>
      <c r="AX12" s="47"/>
      <c r="AY12" s="47"/>
      <c r="AZ12" s="48"/>
      <c r="BA12"/>
      <c r="BB12"/>
      <c r="BC12"/>
      <c r="BD12"/>
      <c r="BE12"/>
      <c r="BF12"/>
      <c r="BG12"/>
      <c r="BH12"/>
      <c r="BI12"/>
      <c r="BJ12"/>
      <c r="BK12" s="23"/>
    </row>
    <row r="13" spans="1:63" ht="15" customHeight="1">
      <c r="A13" s="22"/>
      <c r="B13" s="431">
        <f t="shared" ref="B13:B14" si="0">B12+1</f>
        <v>3</v>
      </c>
      <c r="C13" s="432"/>
      <c r="D13" s="46" t="s">
        <v>32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46" t="s">
        <v>54</v>
      </c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8"/>
      <c r="AP13" s="46"/>
      <c r="AQ13" s="47"/>
      <c r="AR13" s="47"/>
      <c r="AS13" s="47"/>
      <c r="AT13" s="47"/>
      <c r="AU13" s="47"/>
      <c r="AV13" s="47"/>
      <c r="AW13" s="47"/>
      <c r="AX13" s="47"/>
      <c r="AY13" s="47"/>
      <c r="AZ13" s="48"/>
      <c r="BA13"/>
      <c r="BB13"/>
      <c r="BC13"/>
      <c r="BD13"/>
      <c r="BE13"/>
      <c r="BF13"/>
      <c r="BG13"/>
      <c r="BH13"/>
      <c r="BI13"/>
      <c r="BJ13"/>
      <c r="BK13" s="23"/>
    </row>
    <row r="14" spans="1:63" ht="15" customHeight="1">
      <c r="A14" s="22"/>
      <c r="B14" s="431">
        <f t="shared" si="0"/>
        <v>4</v>
      </c>
      <c r="C14" s="432"/>
      <c r="D14" s="46" t="s">
        <v>103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/>
      <c r="P14" s="46" t="s">
        <v>57</v>
      </c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8"/>
      <c r="AP14" s="46"/>
      <c r="AQ14" s="47"/>
      <c r="AR14" s="47"/>
      <c r="AS14" s="47"/>
      <c r="AT14" s="47"/>
      <c r="AU14" s="47"/>
      <c r="AV14" s="47"/>
      <c r="AW14" s="47"/>
      <c r="AX14" s="47"/>
      <c r="AY14" s="47"/>
      <c r="AZ14" s="48"/>
      <c r="BA14" s="38"/>
      <c r="BB14" s="38"/>
      <c r="BC14" s="38"/>
      <c r="BD14" s="38"/>
      <c r="BE14"/>
      <c r="BF14"/>
      <c r="BG14"/>
      <c r="BH14"/>
      <c r="BI14"/>
      <c r="BJ14"/>
      <c r="BK14" s="23"/>
    </row>
    <row r="15" spans="1:63" ht="15" customHeight="1">
      <c r="A15" s="22"/>
      <c r="B15" s="52"/>
      <c r="C15" s="53"/>
      <c r="D15" s="52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3"/>
      <c r="P15" s="52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3"/>
      <c r="AP15" s="52"/>
      <c r="AQ15" s="54"/>
      <c r="AR15" s="54"/>
      <c r="AS15" s="54"/>
      <c r="AT15" s="54"/>
      <c r="AU15" s="54"/>
      <c r="AV15" s="54"/>
      <c r="AW15" s="54"/>
      <c r="AX15" s="54"/>
      <c r="AY15" s="54"/>
      <c r="AZ15" s="53"/>
      <c r="BA15" s="38"/>
      <c r="BB15" s="38"/>
      <c r="BC15" s="38"/>
      <c r="BD15" s="38"/>
      <c r="BE15"/>
      <c r="BF15"/>
      <c r="BG15"/>
      <c r="BH15"/>
      <c r="BI15"/>
      <c r="BJ15"/>
      <c r="BK15" s="23"/>
    </row>
    <row r="16" spans="1:63" ht="15" customHeight="1">
      <c r="A16" s="22"/>
      <c r="B16" s="38"/>
      <c r="C16" s="38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 s="38"/>
      <c r="BB16" s="38"/>
      <c r="BC16" s="38"/>
      <c r="BD16" s="38"/>
      <c r="BE16"/>
      <c r="BF16"/>
      <c r="BG16"/>
      <c r="BH16"/>
      <c r="BI16"/>
      <c r="BJ16"/>
      <c r="BK16" s="23"/>
    </row>
    <row r="17" spans="1:63" ht="15" customHeight="1">
      <c r="A17" s="22"/>
      <c r="B17" s="38"/>
      <c r="C17" s="38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 s="38"/>
      <c r="BB17" s="38"/>
      <c r="BC17" s="38"/>
      <c r="BD17" s="38"/>
      <c r="BE17"/>
      <c r="BF17"/>
      <c r="BG17"/>
      <c r="BH17"/>
      <c r="BI17"/>
      <c r="BJ17"/>
      <c r="BK17" s="23"/>
    </row>
    <row r="18" spans="1:63" ht="15" customHeight="1">
      <c r="A18" s="22"/>
      <c r="B18" s="38"/>
      <c r="C18" s="3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 s="38"/>
      <c r="BB18" s="38"/>
      <c r="BC18" s="38"/>
      <c r="BD18" s="38"/>
      <c r="BE18"/>
      <c r="BF18"/>
      <c r="BG18"/>
      <c r="BH18"/>
      <c r="BI18"/>
      <c r="BJ18"/>
      <c r="BK18" s="23"/>
    </row>
    <row r="19" spans="1:63" ht="15" customHeight="1">
      <c r="A19" s="22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 s="23"/>
    </row>
    <row r="20" spans="1:63" ht="15" customHeight="1">
      <c r="A20" s="2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 s="23"/>
    </row>
    <row r="21" spans="1:63" ht="15" customHeight="1">
      <c r="A21" s="22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 s="23"/>
    </row>
    <row r="22" spans="1:63" ht="15" customHeight="1">
      <c r="A22" s="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 s="23"/>
    </row>
    <row r="23" spans="1:63" ht="15" customHeight="1">
      <c r="A23" s="22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 s="23"/>
    </row>
    <row r="24" spans="1:63" ht="15" customHeight="1">
      <c r="A24" s="22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 s="23"/>
    </row>
    <row r="25" spans="1:63" ht="15" customHeight="1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6"/>
    </row>
    <row r="26" spans="1:63" ht="15" customHeight="1"/>
    <row r="27" spans="1:63" ht="15" customHeight="1"/>
    <row r="28" spans="1:63" ht="15" customHeight="1"/>
    <row r="29" spans="1:63" ht="15" customHeight="1"/>
    <row r="30" spans="1:63" ht="15" customHeight="1"/>
    <row r="31" spans="1:63" ht="15" customHeight="1"/>
    <row r="32" spans="1:6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mergeCells count="24">
    <mergeCell ref="AP4:BK4"/>
    <mergeCell ref="Z4:AO4"/>
    <mergeCell ref="BH1:BK1"/>
    <mergeCell ref="BC1:BG1"/>
    <mergeCell ref="AY1:BB1"/>
    <mergeCell ref="AT1:AX1"/>
    <mergeCell ref="AP1:AS1"/>
    <mergeCell ref="BH2:BK3"/>
    <mergeCell ref="BC2:BG3"/>
    <mergeCell ref="AY2:BB3"/>
    <mergeCell ref="AT2:AX3"/>
    <mergeCell ref="AP2:AS3"/>
    <mergeCell ref="K2:V3"/>
    <mergeCell ref="A2:J3"/>
    <mergeCell ref="W1:AO3"/>
    <mergeCell ref="K1:V1"/>
    <mergeCell ref="A1:J1"/>
    <mergeCell ref="U4:Y4"/>
    <mergeCell ref="H4:T4"/>
    <mergeCell ref="A4:G4"/>
    <mergeCell ref="B14:C14"/>
    <mergeCell ref="B11:C11"/>
    <mergeCell ref="B12:C12"/>
    <mergeCell ref="B13:C13"/>
  </mergeCells>
  <phoneticPr fontId="4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BK207"/>
  <sheetViews>
    <sheetView view="pageBreakPreview" zoomScaleNormal="75" zoomScaleSheetLayoutView="100" workbookViewId="0">
      <selection sqref="A1:J1"/>
    </sheetView>
  </sheetViews>
  <sheetFormatPr defaultColWidth="8.88671875" defaultRowHeight="13.5"/>
  <cols>
    <col min="1" max="63" width="2.77734375" style="1" customWidth="1"/>
    <col min="64" max="64" width="8.88671875" style="1" customWidth="1"/>
    <col min="65" max="16384" width="8.88671875" style="1"/>
  </cols>
  <sheetData>
    <row r="1" spans="1:63" customFormat="1" ht="24.95" customHeight="1">
      <c r="A1" s="137" t="s">
        <v>79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80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IF(Bìa!W1="","",Bìa!W1)</f>
        <v>TKDB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37" t="s">
        <v>84</v>
      </c>
      <c r="AQ1" s="138"/>
      <c r="AR1" s="138"/>
      <c r="AS1" s="139"/>
      <c r="AT1" s="137" t="s">
        <v>85</v>
      </c>
      <c r="AU1" s="138"/>
      <c r="AV1" s="138"/>
      <c r="AW1" s="138"/>
      <c r="AX1" s="139"/>
      <c r="AY1" s="137" t="s">
        <v>86</v>
      </c>
      <c r="AZ1" s="138"/>
      <c r="BA1" s="138"/>
      <c r="BB1" s="139"/>
      <c r="BC1" s="137" t="s">
        <v>87</v>
      </c>
      <c r="BD1" s="138"/>
      <c r="BE1" s="138"/>
      <c r="BF1" s="138"/>
      <c r="BG1" s="139"/>
      <c r="BH1" s="137" t="s">
        <v>88</v>
      </c>
      <c r="BI1" s="138"/>
      <c r="BJ1" s="138"/>
      <c r="BK1" s="139"/>
    </row>
    <row r="2" spans="1:63" customFormat="1" ht="15" customHeight="1">
      <c r="A2" s="101" t="str">
        <f>IF(Bìa!A2="","",Bìa!A2)</f>
        <v>Manager User</v>
      </c>
      <c r="B2" s="102"/>
      <c r="C2" s="102"/>
      <c r="D2" s="102"/>
      <c r="E2" s="102"/>
      <c r="F2" s="102"/>
      <c r="G2" s="102"/>
      <c r="H2" s="102"/>
      <c r="I2" s="102"/>
      <c r="J2" s="103"/>
      <c r="K2" s="101" t="str">
        <f>IF(Bìa!K2="","",Bìa!K2)</f>
        <v>14_Thiết kế DB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01" t="str">
        <f>IF(Bìa!AP2="","",Bìa!AP2)</f>
        <v>ThanhPD</v>
      </c>
      <c r="AQ2" s="102"/>
      <c r="AR2" s="102"/>
      <c r="AS2" s="103"/>
      <c r="AT2" s="107">
        <f>IF(Bìa!AT2="","",Bìa!AT2)</f>
        <v>44930</v>
      </c>
      <c r="AU2" s="108"/>
      <c r="AV2" s="108"/>
      <c r="AW2" s="108"/>
      <c r="AX2" s="109"/>
      <c r="AY2" s="101" t="str">
        <f>IF(Bìa!AY2="","",Bìa!AY2)</f>
        <v>ThanhPD</v>
      </c>
      <c r="AZ2" s="102"/>
      <c r="BA2" s="102"/>
      <c r="BB2" s="103"/>
      <c r="BC2" s="107">
        <f>IF(Bìa!BC2="","",Bìa!BC2)</f>
        <v>44930</v>
      </c>
      <c r="BD2" s="108"/>
      <c r="BE2" s="108"/>
      <c r="BF2" s="108"/>
      <c r="BG2" s="109"/>
      <c r="BH2" s="101">
        <f>IF(Bìa!BH2="","",Bìa!BH2)</f>
        <v>0.1</v>
      </c>
      <c r="BI2" s="102"/>
      <c r="BJ2" s="102"/>
      <c r="BK2" s="103"/>
    </row>
    <row r="3" spans="1:63" customFormat="1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104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customFormat="1" ht="24.95" customHeight="1">
      <c r="A4" s="137" t="s">
        <v>81</v>
      </c>
      <c r="B4" s="138"/>
      <c r="C4" s="138"/>
      <c r="D4" s="138"/>
      <c r="E4" s="138"/>
      <c r="F4" s="138"/>
      <c r="G4" s="139"/>
      <c r="H4" s="123" t="str">
        <f>IF(Bìa!H4="","",Bìa!H4)</f>
        <v/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37" t="s">
        <v>82</v>
      </c>
      <c r="V4" s="138"/>
      <c r="W4" s="138"/>
      <c r="X4" s="138"/>
      <c r="Y4" s="139"/>
      <c r="Z4" s="123" t="str">
        <f>IF(Bìa!Z4="","",Bìa!Z4)</f>
        <v>ー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5"/>
      <c r="AP4" s="123" t="str">
        <f>H11</f>
        <v>Bảng thông tin nhân viên</v>
      </c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5"/>
    </row>
    <row r="5" spans="1:63" customFormat="1" ht="5.0999999999999996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s="5" customFormat="1" ht="15" customHeight="1">
      <c r="A6" s="5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51"/>
    </row>
    <row r="7" spans="1:63" s="5" customFormat="1" ht="15" customHeight="1">
      <c r="A7" s="5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51"/>
    </row>
    <row r="8" spans="1:63" s="5" customFormat="1" ht="15" customHeight="1">
      <c r="A8" s="50"/>
      <c r="B8" s="60" t="s">
        <v>101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51"/>
    </row>
    <row r="9" spans="1:63" s="5" customFormat="1" ht="15" customHeight="1">
      <c r="A9" s="5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51"/>
    </row>
    <row r="10" spans="1:63" s="5" customFormat="1" ht="15" customHeight="1">
      <c r="A10" s="50"/>
      <c r="B10" s="31"/>
      <c r="C10" s="439" t="s">
        <v>104</v>
      </c>
      <c r="D10" s="440"/>
      <c r="E10" s="440"/>
      <c r="F10" s="440"/>
      <c r="G10" s="441"/>
      <c r="H10" s="442" t="s">
        <v>7</v>
      </c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4"/>
      <c r="Z10" s="439" t="s">
        <v>106</v>
      </c>
      <c r="AA10" s="440"/>
      <c r="AB10" s="440"/>
      <c r="AC10" s="440"/>
      <c r="AD10" s="441"/>
      <c r="AE10" s="442" t="s">
        <v>6</v>
      </c>
      <c r="AF10" s="443"/>
      <c r="AG10" s="443"/>
      <c r="AH10" s="443"/>
      <c r="AI10" s="443"/>
      <c r="AJ10" s="443"/>
      <c r="AK10" s="443"/>
      <c r="AL10" s="443"/>
      <c r="AM10" s="443"/>
      <c r="AN10" s="443"/>
      <c r="AO10" s="444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51"/>
    </row>
    <row r="11" spans="1:63" s="5" customFormat="1" ht="15" customHeight="1">
      <c r="A11" s="50"/>
      <c r="B11" s="31"/>
      <c r="C11" s="448" t="s">
        <v>69</v>
      </c>
      <c r="D11" s="449"/>
      <c r="E11" s="449"/>
      <c r="F11" s="449"/>
      <c r="G11" s="450"/>
      <c r="H11" s="451" t="s">
        <v>102</v>
      </c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3"/>
      <c r="Z11" s="448" t="s">
        <v>88</v>
      </c>
      <c r="AA11" s="449"/>
      <c r="AB11" s="449"/>
      <c r="AC11" s="449"/>
      <c r="AD11" s="450"/>
      <c r="AE11" s="454" t="s">
        <v>33</v>
      </c>
      <c r="AF11" s="455"/>
      <c r="AG11" s="455"/>
      <c r="AH11" s="455"/>
      <c r="AI11" s="455"/>
      <c r="AJ11" s="455"/>
      <c r="AK11" s="455"/>
      <c r="AL11" s="455"/>
      <c r="AM11" s="455"/>
      <c r="AN11" s="455"/>
      <c r="AO11" s="456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51"/>
    </row>
    <row r="12" spans="1:63" s="5" customFormat="1" ht="15" customHeight="1">
      <c r="A12" s="50"/>
      <c r="B12" s="31"/>
      <c r="C12" s="457" t="s">
        <v>70</v>
      </c>
      <c r="D12" s="458"/>
      <c r="E12" s="458"/>
      <c r="F12" s="458"/>
      <c r="G12" s="459"/>
      <c r="H12" s="445" t="s">
        <v>46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7"/>
      <c r="Z12" s="460"/>
      <c r="AA12" s="458"/>
      <c r="AB12" s="458"/>
      <c r="AC12" s="458"/>
      <c r="AD12" s="459"/>
      <c r="AE12" s="461"/>
      <c r="AF12" s="462"/>
      <c r="AG12" s="462"/>
      <c r="AH12" s="462"/>
      <c r="AI12" s="462"/>
      <c r="AJ12" s="462"/>
      <c r="AK12" s="462"/>
      <c r="AL12" s="462"/>
      <c r="AM12" s="462"/>
      <c r="AN12" s="462"/>
      <c r="AO12" s="463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51"/>
    </row>
    <row r="13" spans="1:63" s="5" customFormat="1" ht="15" customHeight="1">
      <c r="A13" s="50"/>
      <c r="B13" s="31"/>
      <c r="C13" s="464" t="s">
        <v>105</v>
      </c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5"/>
      <c r="Z13" s="465"/>
      <c r="AA13" s="465"/>
      <c r="AB13" s="465"/>
      <c r="AC13" s="465"/>
      <c r="AD13" s="465"/>
      <c r="AE13" s="465"/>
      <c r="AF13" s="465"/>
      <c r="AG13" s="465"/>
      <c r="AH13" s="465"/>
      <c r="AI13" s="465"/>
      <c r="AJ13" s="465"/>
      <c r="AK13" s="465"/>
      <c r="AL13" s="465"/>
      <c r="AM13" s="465"/>
      <c r="AN13" s="465"/>
      <c r="AO13" s="466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51"/>
    </row>
    <row r="14" spans="1:63" s="5" customFormat="1" ht="15" customHeight="1">
      <c r="A14" s="50"/>
      <c r="B14" s="31"/>
      <c r="C14" s="442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443"/>
      <c r="W14" s="443"/>
      <c r="X14" s="443"/>
      <c r="Y14" s="443"/>
      <c r="Z14" s="443"/>
      <c r="AA14" s="443"/>
      <c r="AB14" s="443"/>
      <c r="AC14" s="443"/>
      <c r="AD14" s="443"/>
      <c r="AE14" s="443"/>
      <c r="AF14" s="443"/>
      <c r="AG14" s="443"/>
      <c r="AH14" s="443"/>
      <c r="AI14" s="443"/>
      <c r="AJ14" s="443"/>
      <c r="AK14" s="443"/>
      <c r="AL14" s="443"/>
      <c r="AM14" s="443"/>
      <c r="AN14" s="443"/>
      <c r="AO14" s="444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51"/>
    </row>
    <row r="15" spans="1:63" s="5" customFormat="1" ht="15" customHeight="1">
      <c r="A15" s="50"/>
      <c r="B15" s="31"/>
      <c r="C15" s="451"/>
      <c r="D15" s="452"/>
      <c r="E15" s="452"/>
      <c r="F15" s="452"/>
      <c r="G15" s="452"/>
      <c r="H15" s="452"/>
      <c r="I15" s="452"/>
      <c r="J15" s="452"/>
      <c r="K15" s="452"/>
      <c r="L15" s="452"/>
      <c r="M15" s="452"/>
      <c r="N15" s="452"/>
      <c r="O15" s="452"/>
      <c r="P15" s="452"/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452"/>
      <c r="AD15" s="452"/>
      <c r="AE15" s="452"/>
      <c r="AF15" s="452"/>
      <c r="AG15" s="452"/>
      <c r="AH15" s="452"/>
      <c r="AI15" s="452"/>
      <c r="AJ15" s="452"/>
      <c r="AK15" s="452"/>
      <c r="AL15" s="452"/>
      <c r="AM15" s="452"/>
      <c r="AN15" s="452"/>
      <c r="AO15" s="453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51"/>
    </row>
    <row r="16" spans="1:63" s="5" customFormat="1" ht="15" customHeight="1">
      <c r="A16" s="50"/>
      <c r="B16" s="31"/>
      <c r="C16" s="451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2"/>
      <c r="AB16" s="452"/>
      <c r="AC16" s="452"/>
      <c r="AD16" s="452"/>
      <c r="AE16" s="452"/>
      <c r="AF16" s="452"/>
      <c r="AG16" s="452"/>
      <c r="AH16" s="452"/>
      <c r="AI16" s="452"/>
      <c r="AJ16" s="452"/>
      <c r="AK16" s="452"/>
      <c r="AL16" s="452"/>
      <c r="AM16" s="452"/>
      <c r="AN16" s="452"/>
      <c r="AO16" s="453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51"/>
    </row>
    <row r="17" spans="1:63" s="5" customFormat="1" ht="15" customHeight="1">
      <c r="A17" s="50"/>
      <c r="B17" s="31"/>
      <c r="C17" s="451"/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452"/>
      <c r="O17" s="452"/>
      <c r="P17" s="452"/>
      <c r="Q17" s="452"/>
      <c r="R17" s="452"/>
      <c r="S17" s="452"/>
      <c r="T17" s="452"/>
      <c r="U17" s="452"/>
      <c r="V17" s="452"/>
      <c r="W17" s="452"/>
      <c r="X17" s="452"/>
      <c r="Y17" s="452"/>
      <c r="Z17" s="452"/>
      <c r="AA17" s="452"/>
      <c r="AB17" s="452"/>
      <c r="AC17" s="452"/>
      <c r="AD17" s="452"/>
      <c r="AE17" s="452"/>
      <c r="AF17" s="452"/>
      <c r="AG17" s="452"/>
      <c r="AH17" s="452"/>
      <c r="AI17" s="452"/>
      <c r="AJ17" s="452"/>
      <c r="AK17" s="452"/>
      <c r="AL17" s="452"/>
      <c r="AM17" s="452"/>
      <c r="AN17" s="452"/>
      <c r="AO17" s="453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51"/>
    </row>
    <row r="18" spans="1:63" s="5" customFormat="1" ht="15" customHeight="1">
      <c r="A18" s="50"/>
      <c r="B18" s="31"/>
      <c r="C18" s="445"/>
      <c r="D18" s="446"/>
      <c r="E18" s="446"/>
      <c r="F18" s="446"/>
      <c r="G18" s="446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7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51"/>
    </row>
    <row r="19" spans="1:63" s="5" customFormat="1" ht="15" customHeight="1">
      <c r="A19" s="5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51"/>
    </row>
    <row r="20" spans="1:63" s="5" customFormat="1" ht="15" customHeight="1">
      <c r="A20" s="50"/>
      <c r="B20" s="31" t="s">
        <v>107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51"/>
    </row>
    <row r="21" spans="1:63" s="5" customFormat="1" ht="15" customHeight="1">
      <c r="A21" s="5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51"/>
    </row>
    <row r="22" spans="1:63" s="5" customFormat="1" ht="15" customHeight="1">
      <c r="A22" s="50"/>
      <c r="B22" s="39" t="s">
        <v>1</v>
      </c>
      <c r="C22" s="40"/>
      <c r="D22" s="39" t="s">
        <v>69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0"/>
      <c r="R22" s="39" t="s">
        <v>70</v>
      </c>
      <c r="S22" s="41"/>
      <c r="T22" s="41"/>
      <c r="U22" s="41"/>
      <c r="V22" s="41"/>
      <c r="W22" s="41"/>
      <c r="X22" s="41"/>
      <c r="Y22" s="41"/>
      <c r="Z22" s="41"/>
      <c r="AA22" s="41"/>
      <c r="AB22" s="40"/>
      <c r="AC22" s="39" t="s">
        <v>108</v>
      </c>
      <c r="AD22" s="41"/>
      <c r="AE22" s="41"/>
      <c r="AF22" s="41"/>
      <c r="AG22" s="40"/>
      <c r="AH22" s="39" t="s">
        <v>2</v>
      </c>
      <c r="AI22" s="40"/>
      <c r="AJ22" s="39" t="s">
        <v>3</v>
      </c>
      <c r="AK22" s="41"/>
      <c r="AL22" s="40"/>
      <c r="AM22" s="39" t="s">
        <v>109</v>
      </c>
      <c r="AN22" s="41"/>
      <c r="AO22" s="41"/>
      <c r="AP22" s="41"/>
      <c r="AQ22" s="41"/>
      <c r="AR22" s="41"/>
      <c r="AS22" s="40"/>
      <c r="AT22" s="39" t="s">
        <v>105</v>
      </c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0"/>
      <c r="BK22" s="51"/>
    </row>
    <row r="23" spans="1:63" s="5" customFormat="1" ht="15" customHeight="1">
      <c r="A23" s="50"/>
      <c r="B23" s="437">
        <v>1</v>
      </c>
      <c r="C23" s="438"/>
      <c r="D23" s="56" t="s">
        <v>45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8"/>
      <c r="R23" s="59" t="s">
        <v>47</v>
      </c>
      <c r="S23" s="57"/>
      <c r="T23" s="57"/>
      <c r="U23" s="57"/>
      <c r="V23" s="57"/>
      <c r="W23" s="57"/>
      <c r="X23" s="57"/>
      <c r="Y23" s="57"/>
      <c r="Z23" s="57"/>
      <c r="AA23" s="57"/>
      <c r="AB23" s="58"/>
      <c r="AC23" s="59" t="s">
        <v>16</v>
      </c>
      <c r="AD23" s="57"/>
      <c r="AE23" s="57"/>
      <c r="AF23" s="57"/>
      <c r="AG23" s="58"/>
      <c r="AH23" s="59" t="s">
        <v>14</v>
      </c>
      <c r="AI23" s="58"/>
      <c r="AJ23" s="45" t="s">
        <v>19</v>
      </c>
      <c r="AK23" s="57"/>
      <c r="AL23" s="58"/>
      <c r="AM23" s="59"/>
      <c r="AN23" s="57"/>
      <c r="AO23" s="57"/>
      <c r="AP23" s="57"/>
      <c r="AQ23" s="57"/>
      <c r="AR23" s="57"/>
      <c r="AS23" s="58"/>
      <c r="AT23" s="59" t="s">
        <v>13</v>
      </c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8"/>
      <c r="BK23" s="51"/>
    </row>
    <row r="24" spans="1:63" s="5" customFormat="1" ht="15" customHeight="1">
      <c r="A24" s="50"/>
      <c r="B24" s="435">
        <v>2</v>
      </c>
      <c r="C24" s="436"/>
      <c r="D24" s="42" t="s">
        <v>21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/>
      <c r="R24" s="45" t="s">
        <v>23</v>
      </c>
      <c r="S24" s="43"/>
      <c r="T24" s="43"/>
      <c r="U24" s="43"/>
      <c r="V24" s="43"/>
      <c r="W24" s="43"/>
      <c r="X24" s="43"/>
      <c r="Y24" s="43"/>
      <c r="Z24" s="43"/>
      <c r="AA24" s="43"/>
      <c r="AB24" s="44"/>
      <c r="AC24" s="59" t="s">
        <v>16</v>
      </c>
      <c r="AD24" s="43"/>
      <c r="AE24" s="43"/>
      <c r="AF24" s="43"/>
      <c r="AG24" s="44"/>
      <c r="AH24" s="45"/>
      <c r="AI24" s="44"/>
      <c r="AJ24" s="45" t="s">
        <v>19</v>
      </c>
      <c r="AK24" s="43"/>
      <c r="AL24" s="44"/>
      <c r="AM24" s="45"/>
      <c r="AN24" s="43"/>
      <c r="AO24" s="43"/>
      <c r="AP24" s="43"/>
      <c r="AQ24" s="43"/>
      <c r="AR24" s="43"/>
      <c r="AS24" s="44"/>
      <c r="AT24" s="45" t="s">
        <v>25</v>
      </c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4"/>
      <c r="BK24" s="51"/>
    </row>
    <row r="25" spans="1:63" s="5" customFormat="1" ht="15" customHeight="1">
      <c r="A25" s="50"/>
      <c r="B25" s="435">
        <v>3</v>
      </c>
      <c r="C25" s="436"/>
      <c r="D25" s="45" t="s">
        <v>9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/>
      <c r="R25" s="45" t="s">
        <v>48</v>
      </c>
      <c r="S25" s="43"/>
      <c r="T25" s="43"/>
      <c r="U25" s="43"/>
      <c r="V25" s="43"/>
      <c r="W25" s="43"/>
      <c r="X25" s="43"/>
      <c r="Y25" s="43"/>
      <c r="Z25" s="43"/>
      <c r="AA25" s="43"/>
      <c r="AB25" s="44"/>
      <c r="AC25" s="45" t="s">
        <v>112</v>
      </c>
      <c r="AD25" s="43"/>
      <c r="AE25" s="43"/>
      <c r="AF25" s="43"/>
      <c r="AG25" s="44"/>
      <c r="AH25" s="45"/>
      <c r="AI25" s="44"/>
      <c r="AJ25" s="45" t="s">
        <v>19</v>
      </c>
      <c r="AK25" s="43"/>
      <c r="AL25" s="44"/>
      <c r="AM25" s="45"/>
      <c r="AN25" s="43"/>
      <c r="AO25" s="43"/>
      <c r="AP25" s="43"/>
      <c r="AQ25" s="43"/>
      <c r="AR25" s="43"/>
      <c r="AS25" s="44"/>
      <c r="AT25" s="45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4"/>
      <c r="BK25" s="51"/>
    </row>
    <row r="26" spans="1:63" s="5" customFormat="1" ht="15" customHeight="1">
      <c r="A26" s="50"/>
      <c r="B26" s="435">
        <v>4</v>
      </c>
      <c r="C26" s="436"/>
      <c r="D26" s="45" t="s">
        <v>10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/>
      <c r="R26" s="45" t="s">
        <v>49</v>
      </c>
      <c r="S26" s="43"/>
      <c r="T26" s="43"/>
      <c r="U26" s="43"/>
      <c r="V26" s="43"/>
      <c r="W26" s="43"/>
      <c r="X26" s="43"/>
      <c r="Y26" s="43"/>
      <c r="Z26" s="43"/>
      <c r="AA26" s="43"/>
      <c r="AB26" s="44"/>
      <c r="AC26" s="45" t="s">
        <v>112</v>
      </c>
      <c r="AD26" s="43"/>
      <c r="AE26" s="43"/>
      <c r="AF26" s="43"/>
      <c r="AG26" s="44"/>
      <c r="AH26" s="45"/>
      <c r="AI26" s="44"/>
      <c r="AJ26" s="45"/>
      <c r="AK26" s="43"/>
      <c r="AL26" s="44"/>
      <c r="AM26" s="45"/>
      <c r="AN26" s="43"/>
      <c r="AO26" s="43"/>
      <c r="AP26" s="43"/>
      <c r="AQ26" s="43"/>
      <c r="AR26" s="43"/>
      <c r="AS26" s="44"/>
      <c r="AT26" s="45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4"/>
      <c r="BK26" s="51"/>
    </row>
    <row r="27" spans="1:63" s="5" customFormat="1" ht="15" customHeight="1">
      <c r="A27" s="50"/>
      <c r="B27" s="435">
        <v>5</v>
      </c>
      <c r="C27" s="436"/>
      <c r="D27" s="45" t="s">
        <v>41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4"/>
      <c r="R27" s="94" t="s">
        <v>72</v>
      </c>
      <c r="S27" s="43"/>
      <c r="T27" s="43"/>
      <c r="U27" s="43"/>
      <c r="V27" s="43"/>
      <c r="W27" s="43"/>
      <c r="X27" s="43"/>
      <c r="Y27" s="43"/>
      <c r="Z27" s="43"/>
      <c r="AA27" s="43"/>
      <c r="AB27" s="44"/>
      <c r="AC27" s="45" t="s">
        <v>42</v>
      </c>
      <c r="AD27" s="43"/>
      <c r="AE27" s="43"/>
      <c r="AF27" s="43"/>
      <c r="AG27" s="44"/>
      <c r="AH27" s="45"/>
      <c r="AI27" s="44"/>
      <c r="AJ27" s="45"/>
      <c r="AK27" s="43"/>
      <c r="AL27" s="44"/>
      <c r="AM27" s="45"/>
      <c r="AN27" s="43"/>
      <c r="AO27" s="43"/>
      <c r="AP27" s="43"/>
      <c r="AQ27" s="43"/>
      <c r="AR27" s="43"/>
      <c r="AS27" s="44"/>
      <c r="AT27" s="45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4"/>
      <c r="BK27" s="51"/>
    </row>
    <row r="28" spans="1:63" s="5" customFormat="1" ht="15" customHeight="1">
      <c r="A28" s="50"/>
      <c r="B28" s="435">
        <v>6</v>
      </c>
      <c r="C28" s="436"/>
      <c r="D28" s="45" t="s">
        <v>11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4"/>
      <c r="R28" s="45" t="s">
        <v>50</v>
      </c>
      <c r="S28" s="43"/>
      <c r="T28" s="43"/>
      <c r="U28" s="43"/>
      <c r="V28" s="43"/>
      <c r="W28" s="43"/>
      <c r="X28" s="43"/>
      <c r="Y28" s="43"/>
      <c r="Z28" s="43"/>
      <c r="AA28" s="43"/>
      <c r="AB28" s="44"/>
      <c r="AC28" s="45" t="s">
        <v>112</v>
      </c>
      <c r="AD28" s="43"/>
      <c r="AE28" s="43"/>
      <c r="AF28" s="43"/>
      <c r="AG28" s="44"/>
      <c r="AH28" s="45"/>
      <c r="AI28" s="44"/>
      <c r="AJ28" s="45" t="s">
        <v>19</v>
      </c>
      <c r="AK28" s="43"/>
      <c r="AL28" s="44"/>
      <c r="AM28" s="45"/>
      <c r="AN28" s="43"/>
      <c r="AO28" s="43"/>
      <c r="AP28" s="43"/>
      <c r="AQ28" s="43"/>
      <c r="AR28" s="43"/>
      <c r="AS28" s="44"/>
      <c r="AT28" s="45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4"/>
      <c r="BK28" s="51"/>
    </row>
    <row r="29" spans="1:63" s="5" customFormat="1" ht="15" customHeight="1">
      <c r="A29" s="50"/>
      <c r="B29" s="435">
        <v>7</v>
      </c>
      <c r="C29" s="436"/>
      <c r="D29" s="45" t="s">
        <v>12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/>
      <c r="R29" s="45" t="s">
        <v>51</v>
      </c>
      <c r="S29" s="43"/>
      <c r="T29" s="43"/>
      <c r="U29" s="43"/>
      <c r="V29" s="43"/>
      <c r="W29" s="43"/>
      <c r="X29" s="43"/>
      <c r="Y29" s="43"/>
      <c r="Z29" s="43"/>
      <c r="AA29" s="43"/>
      <c r="AB29" s="44"/>
      <c r="AC29" s="45" t="s">
        <v>18</v>
      </c>
      <c r="AD29" s="43"/>
      <c r="AE29" s="43"/>
      <c r="AF29" s="43"/>
      <c r="AG29" s="44"/>
      <c r="AH29" s="45"/>
      <c r="AI29" s="44"/>
      <c r="AJ29" s="45"/>
      <c r="AK29" s="43"/>
      <c r="AL29" s="44"/>
      <c r="AM29" s="45"/>
      <c r="AN29" s="43"/>
      <c r="AO29" s="43"/>
      <c r="AP29" s="43"/>
      <c r="AQ29" s="43"/>
      <c r="AR29" s="43"/>
      <c r="AS29" s="44"/>
      <c r="AT29" s="45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4"/>
      <c r="BK29" s="51"/>
    </row>
    <row r="30" spans="1:63" s="5" customFormat="1" ht="15" customHeight="1">
      <c r="A30" s="50"/>
      <c r="B30" s="435">
        <v>8</v>
      </c>
      <c r="C30" s="436"/>
      <c r="D30" s="45" t="s">
        <v>39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/>
      <c r="R30" s="45" t="s">
        <v>52</v>
      </c>
      <c r="S30" s="43"/>
      <c r="T30" s="43"/>
      <c r="U30" s="43"/>
      <c r="V30" s="43"/>
      <c r="W30" s="43"/>
      <c r="X30" s="43"/>
      <c r="Y30" s="43"/>
      <c r="Z30" s="43"/>
      <c r="AA30" s="43"/>
      <c r="AB30" s="44"/>
      <c r="AC30" s="45" t="s">
        <v>18</v>
      </c>
      <c r="AD30" s="43"/>
      <c r="AE30" s="43"/>
      <c r="AF30" s="43"/>
      <c r="AG30" s="44"/>
      <c r="AH30" s="45"/>
      <c r="AI30" s="44"/>
      <c r="AJ30" s="45" t="s">
        <v>19</v>
      </c>
      <c r="AK30" s="43"/>
      <c r="AL30" s="44"/>
      <c r="AM30" s="45"/>
      <c r="AN30" s="43"/>
      <c r="AO30" s="43"/>
      <c r="AP30" s="43"/>
      <c r="AQ30" s="43"/>
      <c r="AR30" s="43"/>
      <c r="AS30" s="44"/>
      <c r="AT30" s="45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4"/>
      <c r="BK30" s="51"/>
    </row>
    <row r="31" spans="1:63" s="5" customFormat="1" ht="15" customHeight="1">
      <c r="A31" s="50"/>
      <c r="B31" s="435">
        <v>9</v>
      </c>
      <c r="C31" s="436"/>
      <c r="D31" s="45" t="s">
        <v>40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/>
      <c r="R31" s="45" t="s">
        <v>53</v>
      </c>
      <c r="S31" s="43"/>
      <c r="T31" s="43"/>
      <c r="U31" s="43"/>
      <c r="V31" s="43"/>
      <c r="W31" s="43"/>
      <c r="X31" s="43"/>
      <c r="Y31" s="43"/>
      <c r="Z31" s="43"/>
      <c r="AA31" s="43"/>
      <c r="AB31" s="44"/>
      <c r="AC31" s="45" t="s">
        <v>17</v>
      </c>
      <c r="AD31" s="43"/>
      <c r="AE31" s="43"/>
      <c r="AF31" s="43"/>
      <c r="AG31" s="44"/>
      <c r="AH31" s="45"/>
      <c r="AI31" s="44"/>
      <c r="AJ31" s="45"/>
      <c r="AK31" s="43"/>
      <c r="AL31" s="44"/>
      <c r="AM31" s="45"/>
      <c r="AN31" s="43"/>
      <c r="AO31" s="43"/>
      <c r="AP31" s="43"/>
      <c r="AQ31" s="43"/>
      <c r="AR31" s="43"/>
      <c r="AS31" s="44"/>
      <c r="AT31" s="45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4"/>
      <c r="BK31" s="51"/>
    </row>
    <row r="32" spans="1:63" s="5" customFormat="1" ht="15" customHeight="1">
      <c r="A32" s="50"/>
      <c r="B32" s="49"/>
      <c r="C32" s="55"/>
      <c r="D32" s="52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3"/>
      <c r="R32" s="52"/>
      <c r="S32" s="54"/>
      <c r="T32" s="54"/>
      <c r="U32" s="54"/>
      <c r="V32" s="54"/>
      <c r="W32" s="54"/>
      <c r="X32" s="54"/>
      <c r="Y32" s="54"/>
      <c r="Z32" s="54"/>
      <c r="AA32" s="54"/>
      <c r="AB32" s="53"/>
      <c r="AC32" s="52"/>
      <c r="AD32" s="54"/>
      <c r="AE32" s="54"/>
      <c r="AF32" s="54"/>
      <c r="AG32" s="53"/>
      <c r="AH32" s="52"/>
      <c r="AI32" s="53"/>
      <c r="AJ32" s="52"/>
      <c r="AK32" s="54"/>
      <c r="AL32" s="53"/>
      <c r="AM32" s="52"/>
      <c r="AN32" s="54"/>
      <c r="AO32" s="54"/>
      <c r="AP32" s="54"/>
      <c r="AQ32" s="54"/>
      <c r="AR32" s="54"/>
      <c r="AS32" s="53"/>
      <c r="AT32" s="52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3"/>
      <c r="BK32" s="51"/>
    </row>
    <row r="33" spans="1:63" s="5" customFormat="1" ht="15" customHeight="1">
      <c r="A33" s="5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51"/>
    </row>
    <row r="34" spans="1:63" s="5" customFormat="1" ht="15" customHeight="1">
      <c r="A34" s="50"/>
      <c r="B34" s="31"/>
      <c r="D34" s="31"/>
      <c r="L34" s="31"/>
      <c r="M34" s="31"/>
      <c r="N34" s="31"/>
      <c r="O34" s="31"/>
      <c r="P34" s="31"/>
      <c r="Q34" s="31"/>
      <c r="R34" s="31"/>
      <c r="S34" s="31"/>
      <c r="U34" s="31"/>
      <c r="V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51"/>
    </row>
    <row r="35" spans="1:63" s="5" customFormat="1" ht="15" customHeight="1">
      <c r="A35" s="5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51"/>
    </row>
    <row r="36" spans="1:63" ht="15" customHeight="1">
      <c r="A36" s="5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51"/>
    </row>
    <row r="37" spans="1:63" ht="15" customHeight="1">
      <c r="A37" s="5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51"/>
    </row>
    <row r="38" spans="1:63" ht="15" customHeight="1">
      <c r="A38" s="5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51"/>
    </row>
    <row r="39" spans="1:63" ht="15" customHeight="1">
      <c r="A39" s="2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23"/>
    </row>
    <row r="40" spans="1:63" ht="15" customHeight="1">
      <c r="A40" s="22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23"/>
    </row>
    <row r="41" spans="1:63" ht="15" customHeight="1">
      <c r="A41" s="22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23"/>
    </row>
    <row r="42" spans="1:63" ht="15" customHeight="1">
      <c r="A42" s="2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23"/>
    </row>
    <row r="43" spans="1:63" ht="15" customHeight="1">
      <c r="A43" s="2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23"/>
    </row>
    <row r="44" spans="1:63" ht="15" customHeight="1">
      <c r="A44" s="2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23"/>
    </row>
    <row r="45" spans="1:63" ht="15" customHeight="1">
      <c r="A45" s="2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23"/>
    </row>
    <row r="46" spans="1:63" ht="15" customHeight="1">
      <c r="A46" s="2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23"/>
    </row>
    <row r="47" spans="1:63" ht="1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</row>
    <row r="48" spans="1:6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</sheetData>
  <mergeCells count="47">
    <mergeCell ref="C18:AO18"/>
    <mergeCell ref="C11:G11"/>
    <mergeCell ref="H11:Y11"/>
    <mergeCell ref="Z11:AD11"/>
    <mergeCell ref="AE11:AO11"/>
    <mergeCell ref="C12:G12"/>
    <mergeCell ref="H12:Y12"/>
    <mergeCell ref="Z12:AD12"/>
    <mergeCell ref="AE12:AO12"/>
    <mergeCell ref="C13:AO13"/>
    <mergeCell ref="C14:AO14"/>
    <mergeCell ref="C15:AO15"/>
    <mergeCell ref="C16:AO16"/>
    <mergeCell ref="C17:AO17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23:C23"/>
    <mergeCell ref="B24:C24"/>
    <mergeCell ref="BC2:BG3"/>
    <mergeCell ref="BH2:BK3"/>
    <mergeCell ref="A1:J1"/>
    <mergeCell ref="K1:V1"/>
    <mergeCell ref="W1:AO3"/>
    <mergeCell ref="AP1:AS1"/>
    <mergeCell ref="AT1:AX1"/>
    <mergeCell ref="AY1:BB1"/>
    <mergeCell ref="C10:G10"/>
    <mergeCell ref="H10:Y10"/>
    <mergeCell ref="Z10:AD10"/>
    <mergeCell ref="AE10:AO10"/>
    <mergeCell ref="BC1:BG1"/>
    <mergeCell ref="A4:G4"/>
    <mergeCell ref="B31:C31"/>
    <mergeCell ref="B25:C25"/>
    <mergeCell ref="B26:C26"/>
    <mergeCell ref="B28:C28"/>
    <mergeCell ref="B29:C29"/>
    <mergeCell ref="B30:C30"/>
    <mergeCell ref="B27:C27"/>
  </mergeCells>
  <phoneticPr fontId="16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200"/>
  <sheetViews>
    <sheetView view="pageBreakPreview" zoomScaleNormal="75" zoomScaleSheetLayoutView="100" workbookViewId="0">
      <selection sqref="A1:J1"/>
    </sheetView>
  </sheetViews>
  <sheetFormatPr defaultColWidth="8.88671875" defaultRowHeight="13.5"/>
  <cols>
    <col min="1" max="63" width="2.77734375" style="1" customWidth="1"/>
    <col min="64" max="64" width="8.88671875" style="1" customWidth="1"/>
    <col min="65" max="16384" width="8.88671875" style="1"/>
  </cols>
  <sheetData>
    <row r="1" spans="1:63" customFormat="1" ht="24.95" customHeight="1">
      <c r="A1" s="137" t="s">
        <v>79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80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IF(Bìa!W1="","",Bìa!W1)</f>
        <v>TKDB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37" t="s">
        <v>84</v>
      </c>
      <c r="AQ1" s="138"/>
      <c r="AR1" s="138"/>
      <c r="AS1" s="139"/>
      <c r="AT1" s="137" t="s">
        <v>85</v>
      </c>
      <c r="AU1" s="138"/>
      <c r="AV1" s="138"/>
      <c r="AW1" s="138"/>
      <c r="AX1" s="139"/>
      <c r="AY1" s="137" t="s">
        <v>86</v>
      </c>
      <c r="AZ1" s="138"/>
      <c r="BA1" s="138"/>
      <c r="BB1" s="139"/>
      <c r="BC1" s="137" t="s">
        <v>87</v>
      </c>
      <c r="BD1" s="138"/>
      <c r="BE1" s="138"/>
      <c r="BF1" s="138"/>
      <c r="BG1" s="139"/>
      <c r="BH1" s="137" t="s">
        <v>88</v>
      </c>
      <c r="BI1" s="138"/>
      <c r="BJ1" s="138"/>
      <c r="BK1" s="139"/>
    </row>
    <row r="2" spans="1:63" customFormat="1" ht="15" customHeight="1">
      <c r="A2" s="101" t="str">
        <f>IF(Bìa!A2="","",Bìa!A2)</f>
        <v>Manager User</v>
      </c>
      <c r="B2" s="102"/>
      <c r="C2" s="102"/>
      <c r="D2" s="102"/>
      <c r="E2" s="102"/>
      <c r="F2" s="102"/>
      <c r="G2" s="102"/>
      <c r="H2" s="102"/>
      <c r="I2" s="102"/>
      <c r="J2" s="103"/>
      <c r="K2" s="101" t="str">
        <f>IF(Bìa!K2="","",Bìa!K2)</f>
        <v>14_Thiết kế DB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01" t="str">
        <f>IF(Bìa!AP2="","",Bìa!AP2)</f>
        <v>ThanhPD</v>
      </c>
      <c r="AQ2" s="102"/>
      <c r="AR2" s="102"/>
      <c r="AS2" s="103"/>
      <c r="AT2" s="107">
        <f>IF(Bìa!AT2="","",Bìa!AT2)</f>
        <v>44930</v>
      </c>
      <c r="AU2" s="108"/>
      <c r="AV2" s="108"/>
      <c r="AW2" s="108"/>
      <c r="AX2" s="109"/>
      <c r="AY2" s="101" t="str">
        <f>IF(Bìa!AY2="","",Bìa!AY2)</f>
        <v>ThanhPD</v>
      </c>
      <c r="AZ2" s="102"/>
      <c r="BA2" s="102"/>
      <c r="BB2" s="103"/>
      <c r="BC2" s="107">
        <f>IF(Bìa!BC2="","",Bìa!BC2)</f>
        <v>44930</v>
      </c>
      <c r="BD2" s="108"/>
      <c r="BE2" s="108"/>
      <c r="BF2" s="108"/>
      <c r="BG2" s="109"/>
      <c r="BH2" s="101">
        <f>IF(Bìa!BH2="","",Bìa!BH2)</f>
        <v>0.1</v>
      </c>
      <c r="BI2" s="102"/>
      <c r="BJ2" s="102"/>
      <c r="BK2" s="103"/>
    </row>
    <row r="3" spans="1:63" customFormat="1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104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customFormat="1" ht="24.95" customHeight="1">
      <c r="A4" s="137" t="s">
        <v>81</v>
      </c>
      <c r="B4" s="138"/>
      <c r="C4" s="138"/>
      <c r="D4" s="138"/>
      <c r="E4" s="138"/>
      <c r="F4" s="138"/>
      <c r="G4" s="139"/>
      <c r="H4" s="123" t="str">
        <f>IF(Bìa!H4="","",Bìa!H4)</f>
        <v/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37" t="s">
        <v>82</v>
      </c>
      <c r="V4" s="138"/>
      <c r="W4" s="138"/>
      <c r="X4" s="138"/>
      <c r="Y4" s="139"/>
      <c r="Z4" s="123" t="str">
        <f>IF(Bìa!Z4="","",Bìa!Z4)</f>
        <v>ー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5"/>
      <c r="AP4" s="123" t="str">
        <f>H11</f>
        <v>Bảng thông tin phòng ban</v>
      </c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5"/>
    </row>
    <row r="5" spans="1:63" customFormat="1" ht="5.0999999999999996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s="5" customFormat="1" ht="15" customHeight="1">
      <c r="A6" s="5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51"/>
    </row>
    <row r="7" spans="1:63" s="5" customFormat="1" ht="15" customHeight="1">
      <c r="A7" s="5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51"/>
    </row>
    <row r="8" spans="1:63" s="5" customFormat="1" ht="15" customHeight="1">
      <c r="A8" s="50"/>
      <c r="B8" s="60" t="s">
        <v>101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51"/>
    </row>
    <row r="9" spans="1:63" s="5" customFormat="1" ht="15" customHeight="1">
      <c r="A9" s="5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51"/>
    </row>
    <row r="10" spans="1:63" s="5" customFormat="1" ht="15" customHeight="1">
      <c r="A10" s="50"/>
      <c r="B10" s="31"/>
      <c r="C10" s="439" t="s">
        <v>104</v>
      </c>
      <c r="D10" s="440"/>
      <c r="E10" s="440"/>
      <c r="F10" s="440"/>
      <c r="G10" s="441"/>
      <c r="H10" s="442" t="s">
        <v>110</v>
      </c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4"/>
      <c r="Z10" s="439" t="s">
        <v>106</v>
      </c>
      <c r="AA10" s="440"/>
      <c r="AB10" s="440"/>
      <c r="AC10" s="440"/>
      <c r="AD10" s="441"/>
      <c r="AE10" s="442" t="s">
        <v>6</v>
      </c>
      <c r="AF10" s="443"/>
      <c r="AG10" s="443"/>
      <c r="AH10" s="443"/>
      <c r="AI10" s="443"/>
      <c r="AJ10" s="443"/>
      <c r="AK10" s="443"/>
      <c r="AL10" s="443"/>
      <c r="AM10" s="443"/>
      <c r="AN10" s="443"/>
      <c r="AO10" s="444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51"/>
    </row>
    <row r="11" spans="1:63" s="5" customFormat="1" ht="15" customHeight="1">
      <c r="A11" s="50"/>
      <c r="B11" s="31"/>
      <c r="C11" s="448" t="s">
        <v>69</v>
      </c>
      <c r="D11" s="449"/>
      <c r="E11" s="449"/>
      <c r="F11" s="449"/>
      <c r="G11" s="450"/>
      <c r="H11" s="451" t="s">
        <v>31</v>
      </c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3"/>
      <c r="Z11" s="448" t="s">
        <v>88</v>
      </c>
      <c r="AA11" s="449"/>
      <c r="AB11" s="449"/>
      <c r="AC11" s="449"/>
      <c r="AD11" s="450"/>
      <c r="AE11" s="454" t="s">
        <v>33</v>
      </c>
      <c r="AF11" s="455"/>
      <c r="AG11" s="455"/>
      <c r="AH11" s="455"/>
      <c r="AI11" s="455"/>
      <c r="AJ11" s="455"/>
      <c r="AK11" s="455"/>
      <c r="AL11" s="455"/>
      <c r="AM11" s="455"/>
      <c r="AN11" s="455"/>
      <c r="AO11" s="456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51"/>
    </row>
    <row r="12" spans="1:63" s="5" customFormat="1" ht="15" customHeight="1">
      <c r="A12" s="50"/>
      <c r="B12" s="31"/>
      <c r="C12" s="457" t="s">
        <v>70</v>
      </c>
      <c r="D12" s="458"/>
      <c r="E12" s="458"/>
      <c r="F12" s="458"/>
      <c r="G12" s="459"/>
      <c r="H12" s="445" t="s">
        <v>8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7"/>
      <c r="Z12" s="460"/>
      <c r="AA12" s="458"/>
      <c r="AB12" s="458"/>
      <c r="AC12" s="458"/>
      <c r="AD12" s="459"/>
      <c r="AE12" s="461"/>
      <c r="AF12" s="462"/>
      <c r="AG12" s="462"/>
      <c r="AH12" s="462"/>
      <c r="AI12" s="462"/>
      <c r="AJ12" s="462"/>
      <c r="AK12" s="462"/>
      <c r="AL12" s="462"/>
      <c r="AM12" s="462"/>
      <c r="AN12" s="462"/>
      <c r="AO12" s="463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51"/>
    </row>
    <row r="13" spans="1:63" s="5" customFormat="1" ht="15" customHeight="1">
      <c r="A13" s="50"/>
      <c r="B13" s="31"/>
      <c r="C13" s="464" t="s">
        <v>105</v>
      </c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5"/>
      <c r="Z13" s="465"/>
      <c r="AA13" s="465"/>
      <c r="AB13" s="465"/>
      <c r="AC13" s="465"/>
      <c r="AD13" s="465"/>
      <c r="AE13" s="465"/>
      <c r="AF13" s="465"/>
      <c r="AG13" s="465"/>
      <c r="AH13" s="465"/>
      <c r="AI13" s="465"/>
      <c r="AJ13" s="465"/>
      <c r="AK13" s="465"/>
      <c r="AL13" s="465"/>
      <c r="AM13" s="465"/>
      <c r="AN13" s="465"/>
      <c r="AO13" s="466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51"/>
    </row>
    <row r="14" spans="1:63" s="5" customFormat="1" ht="15" customHeight="1">
      <c r="A14" s="50"/>
      <c r="B14" s="31"/>
      <c r="C14" s="442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443"/>
      <c r="W14" s="443"/>
      <c r="X14" s="443"/>
      <c r="Y14" s="443"/>
      <c r="Z14" s="443"/>
      <c r="AA14" s="443"/>
      <c r="AB14" s="443"/>
      <c r="AC14" s="443"/>
      <c r="AD14" s="443"/>
      <c r="AE14" s="443"/>
      <c r="AF14" s="443"/>
      <c r="AG14" s="443"/>
      <c r="AH14" s="443"/>
      <c r="AI14" s="443"/>
      <c r="AJ14" s="443"/>
      <c r="AK14" s="443"/>
      <c r="AL14" s="443"/>
      <c r="AM14" s="443"/>
      <c r="AN14" s="443"/>
      <c r="AO14" s="444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51"/>
    </row>
    <row r="15" spans="1:63" s="5" customFormat="1" ht="15" customHeight="1">
      <c r="A15" s="50"/>
      <c r="B15" s="31"/>
      <c r="C15" s="451"/>
      <c r="D15" s="452"/>
      <c r="E15" s="452"/>
      <c r="F15" s="452"/>
      <c r="G15" s="452"/>
      <c r="H15" s="452"/>
      <c r="I15" s="452"/>
      <c r="J15" s="452"/>
      <c r="K15" s="452"/>
      <c r="L15" s="452"/>
      <c r="M15" s="452"/>
      <c r="N15" s="452"/>
      <c r="O15" s="452"/>
      <c r="P15" s="452"/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452"/>
      <c r="AD15" s="452"/>
      <c r="AE15" s="452"/>
      <c r="AF15" s="452"/>
      <c r="AG15" s="452"/>
      <c r="AH15" s="452"/>
      <c r="AI15" s="452"/>
      <c r="AJ15" s="452"/>
      <c r="AK15" s="452"/>
      <c r="AL15" s="452"/>
      <c r="AM15" s="452"/>
      <c r="AN15" s="452"/>
      <c r="AO15" s="453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51"/>
    </row>
    <row r="16" spans="1:63" s="5" customFormat="1" ht="15" customHeight="1">
      <c r="A16" s="50"/>
      <c r="B16" s="31"/>
      <c r="C16" s="451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2"/>
      <c r="AB16" s="452"/>
      <c r="AC16" s="452"/>
      <c r="AD16" s="452"/>
      <c r="AE16" s="452"/>
      <c r="AF16" s="452"/>
      <c r="AG16" s="452"/>
      <c r="AH16" s="452"/>
      <c r="AI16" s="452"/>
      <c r="AJ16" s="452"/>
      <c r="AK16" s="452"/>
      <c r="AL16" s="452"/>
      <c r="AM16" s="452"/>
      <c r="AN16" s="452"/>
      <c r="AO16" s="453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51"/>
    </row>
    <row r="17" spans="1:63" s="5" customFormat="1" ht="15" customHeight="1">
      <c r="A17" s="50"/>
      <c r="B17" s="31"/>
      <c r="C17" s="451"/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452"/>
      <c r="O17" s="452"/>
      <c r="P17" s="452"/>
      <c r="Q17" s="452"/>
      <c r="R17" s="452"/>
      <c r="S17" s="452"/>
      <c r="T17" s="452"/>
      <c r="U17" s="452"/>
      <c r="V17" s="452"/>
      <c r="W17" s="452"/>
      <c r="X17" s="452"/>
      <c r="Y17" s="452"/>
      <c r="Z17" s="452"/>
      <c r="AA17" s="452"/>
      <c r="AB17" s="452"/>
      <c r="AC17" s="452"/>
      <c r="AD17" s="452"/>
      <c r="AE17" s="452"/>
      <c r="AF17" s="452"/>
      <c r="AG17" s="452"/>
      <c r="AH17" s="452"/>
      <c r="AI17" s="452"/>
      <c r="AJ17" s="452"/>
      <c r="AK17" s="452"/>
      <c r="AL17" s="452"/>
      <c r="AM17" s="452"/>
      <c r="AN17" s="452"/>
      <c r="AO17" s="453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51"/>
    </row>
    <row r="18" spans="1:63" s="5" customFormat="1" ht="15" customHeight="1">
      <c r="A18" s="50"/>
      <c r="B18" s="31"/>
      <c r="C18" s="445"/>
      <c r="D18" s="446"/>
      <c r="E18" s="446"/>
      <c r="F18" s="446"/>
      <c r="G18" s="446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7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51"/>
    </row>
    <row r="19" spans="1:63" s="5" customFormat="1" ht="15" customHeight="1">
      <c r="A19" s="5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51"/>
    </row>
    <row r="20" spans="1:63" s="5" customFormat="1" ht="15" customHeight="1">
      <c r="A20" s="50"/>
      <c r="B20" s="31" t="s">
        <v>107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51"/>
    </row>
    <row r="21" spans="1:63" s="5" customFormat="1" ht="15" customHeight="1">
      <c r="A21" s="5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51"/>
    </row>
    <row r="22" spans="1:63" s="5" customFormat="1" ht="15" customHeight="1">
      <c r="A22" s="50"/>
      <c r="B22" s="39" t="s">
        <v>1</v>
      </c>
      <c r="C22" s="40"/>
      <c r="D22" s="39" t="s">
        <v>69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0"/>
      <c r="R22" s="39" t="s">
        <v>70</v>
      </c>
      <c r="S22" s="41"/>
      <c r="T22" s="41"/>
      <c r="U22" s="41"/>
      <c r="V22" s="41"/>
      <c r="W22" s="41"/>
      <c r="X22" s="41"/>
      <c r="Y22" s="41"/>
      <c r="Z22" s="41"/>
      <c r="AA22" s="41"/>
      <c r="AB22" s="40"/>
      <c r="AC22" s="39" t="s">
        <v>108</v>
      </c>
      <c r="AD22" s="41"/>
      <c r="AE22" s="41"/>
      <c r="AF22" s="41"/>
      <c r="AG22" s="40"/>
      <c r="AH22" s="39" t="s">
        <v>2</v>
      </c>
      <c r="AI22" s="40"/>
      <c r="AJ22" s="39" t="s">
        <v>3</v>
      </c>
      <c r="AK22" s="41"/>
      <c r="AL22" s="40"/>
      <c r="AM22" s="39" t="s">
        <v>109</v>
      </c>
      <c r="AN22" s="41"/>
      <c r="AO22" s="41"/>
      <c r="AP22" s="41"/>
      <c r="AQ22" s="41"/>
      <c r="AR22" s="41"/>
      <c r="AS22" s="40"/>
      <c r="AT22" s="39" t="s">
        <v>105</v>
      </c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0"/>
      <c r="BK22" s="51"/>
    </row>
    <row r="23" spans="1:63" s="5" customFormat="1" ht="15" customHeight="1">
      <c r="A23" s="50"/>
      <c r="B23" s="69">
        <v>1</v>
      </c>
      <c r="C23" s="70"/>
      <c r="D23" s="59" t="s">
        <v>21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8"/>
      <c r="R23" s="59" t="s">
        <v>23</v>
      </c>
      <c r="S23" s="57"/>
      <c r="T23" s="57"/>
      <c r="U23" s="57"/>
      <c r="V23" s="57"/>
      <c r="W23" s="57"/>
      <c r="X23" s="57"/>
      <c r="Y23" s="57"/>
      <c r="Z23" s="57"/>
      <c r="AA23" s="57"/>
      <c r="AB23" s="58"/>
      <c r="AC23" s="59" t="s">
        <v>16</v>
      </c>
      <c r="AD23" s="57"/>
      <c r="AE23" s="57"/>
      <c r="AF23" s="57"/>
      <c r="AG23" s="58"/>
      <c r="AH23" s="59" t="s">
        <v>20</v>
      </c>
      <c r="AI23" s="58"/>
      <c r="AJ23" s="59" t="s">
        <v>20</v>
      </c>
      <c r="AK23" s="57"/>
      <c r="AL23" s="58"/>
      <c r="AM23" s="59"/>
      <c r="AN23" s="57"/>
      <c r="AO23" s="57"/>
      <c r="AP23" s="57"/>
      <c r="AQ23" s="57"/>
      <c r="AR23" s="57"/>
      <c r="AS23" s="58"/>
      <c r="AT23" s="59" t="s">
        <v>13</v>
      </c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8"/>
      <c r="BK23" s="51"/>
    </row>
    <row r="24" spans="1:63" s="5" customFormat="1" ht="15" customHeight="1">
      <c r="A24" s="50"/>
      <c r="B24" s="61">
        <v>2</v>
      </c>
      <c r="C24" s="62"/>
      <c r="D24" s="45" t="s">
        <v>22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/>
      <c r="R24" s="45" t="s">
        <v>24</v>
      </c>
      <c r="S24" s="43"/>
      <c r="T24" s="43"/>
      <c r="U24" s="43"/>
      <c r="V24" s="43"/>
      <c r="W24" s="43"/>
      <c r="X24" s="43"/>
      <c r="Y24" s="43"/>
      <c r="Z24" s="43"/>
      <c r="AA24" s="43"/>
      <c r="AB24" s="44"/>
      <c r="AC24" s="45" t="s">
        <v>18</v>
      </c>
      <c r="AD24" s="43"/>
      <c r="AE24" s="43"/>
      <c r="AF24" s="43"/>
      <c r="AG24" s="44"/>
      <c r="AH24" s="45"/>
      <c r="AI24" s="44"/>
      <c r="AJ24" s="45" t="s">
        <v>20</v>
      </c>
      <c r="AK24" s="43"/>
      <c r="AL24" s="44"/>
      <c r="AM24" s="45"/>
      <c r="AN24" s="43"/>
      <c r="AO24" s="43"/>
      <c r="AP24" s="43"/>
      <c r="AQ24" s="43"/>
      <c r="AR24" s="43"/>
      <c r="AS24" s="44"/>
      <c r="AT24" s="45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4"/>
      <c r="BK24" s="51"/>
    </row>
    <row r="25" spans="1:63" s="5" customFormat="1" ht="15" customHeight="1">
      <c r="A25" s="50"/>
      <c r="B25" s="49"/>
      <c r="C25" s="55"/>
      <c r="D25" s="52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3"/>
      <c r="R25" s="52"/>
      <c r="S25" s="54"/>
      <c r="T25" s="54"/>
      <c r="U25" s="54"/>
      <c r="V25" s="54"/>
      <c r="W25" s="54"/>
      <c r="X25" s="54"/>
      <c r="Y25" s="54"/>
      <c r="Z25" s="54"/>
      <c r="AA25" s="54"/>
      <c r="AB25" s="53"/>
      <c r="AC25" s="52"/>
      <c r="AD25" s="54"/>
      <c r="AE25" s="54"/>
      <c r="AF25" s="54"/>
      <c r="AG25" s="53"/>
      <c r="AH25" s="52"/>
      <c r="AI25" s="53"/>
      <c r="AJ25" s="52"/>
      <c r="AK25" s="54"/>
      <c r="AL25" s="53"/>
      <c r="AM25" s="52"/>
      <c r="AN25" s="54"/>
      <c r="AO25" s="54"/>
      <c r="AP25" s="54"/>
      <c r="AQ25" s="54"/>
      <c r="AR25" s="54"/>
      <c r="AS25" s="53"/>
      <c r="AT25" s="52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3"/>
      <c r="BK25" s="51"/>
    </row>
    <row r="26" spans="1:63" s="5" customFormat="1" ht="15" customHeight="1">
      <c r="A26" s="5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51"/>
    </row>
    <row r="27" spans="1:63" s="5" customFormat="1" ht="15" customHeight="1">
      <c r="A27" s="50"/>
      <c r="B27" s="31"/>
      <c r="D27" s="31"/>
      <c r="L27" s="31"/>
      <c r="M27" s="31"/>
      <c r="N27" s="31"/>
      <c r="O27" s="31"/>
      <c r="P27" s="31"/>
      <c r="Q27" s="31"/>
      <c r="R27" s="31"/>
      <c r="S27" s="31"/>
      <c r="U27" s="31"/>
      <c r="V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51"/>
    </row>
    <row r="28" spans="1:63" s="5" customFormat="1" ht="15" customHeight="1">
      <c r="A28" s="5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51"/>
    </row>
    <row r="29" spans="1:63" ht="15" customHeight="1">
      <c r="A29" s="5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51"/>
    </row>
    <row r="30" spans="1:63" ht="15" customHeight="1">
      <c r="A30" s="5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51"/>
    </row>
    <row r="31" spans="1:63" ht="15" customHeight="1">
      <c r="A31" s="5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51"/>
    </row>
    <row r="32" spans="1:63" ht="15" customHeight="1">
      <c r="A32" s="2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 s="23"/>
    </row>
    <row r="33" spans="1:63" ht="15" customHeight="1">
      <c r="A33" s="22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s="23"/>
    </row>
    <row r="34" spans="1:63" ht="15" customHeight="1">
      <c r="A34" s="22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s="23"/>
    </row>
    <row r="35" spans="1:63" ht="15" customHeight="1">
      <c r="A35" s="22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 s="23"/>
    </row>
    <row r="36" spans="1:63" ht="15" customHeight="1">
      <c r="A36" s="2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23"/>
    </row>
    <row r="37" spans="1:63" ht="15" customHeight="1">
      <c r="A37" s="22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23"/>
    </row>
    <row r="38" spans="1:63" ht="15" customHeight="1">
      <c r="A38" s="22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23"/>
    </row>
    <row r="39" spans="1:63" ht="15" customHeight="1">
      <c r="A39" s="2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23"/>
    </row>
    <row r="40" spans="1:63" ht="15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6"/>
    </row>
    <row r="41" spans="1:63" ht="15" customHeight="1"/>
    <row r="42" spans="1:63" ht="15" customHeight="1"/>
    <row r="43" spans="1:63" ht="15" customHeight="1"/>
    <row r="44" spans="1:63" ht="15" customHeight="1"/>
    <row r="45" spans="1:63" ht="15" customHeight="1"/>
    <row r="46" spans="1:63" ht="15" customHeight="1"/>
    <row r="47" spans="1:63" ht="15" customHeight="1"/>
    <row r="48" spans="1:6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38">
    <mergeCell ref="C18:AO18"/>
    <mergeCell ref="C11:G11"/>
    <mergeCell ref="H11:Y11"/>
    <mergeCell ref="Z11:AD11"/>
    <mergeCell ref="AE11:AO11"/>
    <mergeCell ref="C12:G12"/>
    <mergeCell ref="H12:Y12"/>
    <mergeCell ref="Z12:AD12"/>
    <mergeCell ref="AE12:AO12"/>
    <mergeCell ref="C13:AO13"/>
    <mergeCell ref="C14:AO14"/>
    <mergeCell ref="C15:AO15"/>
    <mergeCell ref="C16:AO16"/>
    <mergeCell ref="C17:AO17"/>
    <mergeCell ref="C10:G10"/>
    <mergeCell ref="H10:Y10"/>
    <mergeCell ref="Z10:AD10"/>
    <mergeCell ref="AE10:AO10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6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K200"/>
  <sheetViews>
    <sheetView view="pageBreakPreview" zoomScaleNormal="75" zoomScaleSheetLayoutView="100" workbookViewId="0">
      <selection sqref="A1:J1"/>
    </sheetView>
  </sheetViews>
  <sheetFormatPr defaultColWidth="8.88671875" defaultRowHeight="13.5"/>
  <cols>
    <col min="1" max="63" width="2.77734375" style="1" customWidth="1"/>
    <col min="64" max="64" width="8.88671875" style="1" customWidth="1"/>
    <col min="65" max="16384" width="8.88671875" style="1"/>
  </cols>
  <sheetData>
    <row r="1" spans="1:63" customFormat="1" ht="24.95" customHeight="1">
      <c r="A1" s="137" t="s">
        <v>79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80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IF(Bìa!W1="","",Bìa!W1)</f>
        <v>TKDB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37" t="s">
        <v>84</v>
      </c>
      <c r="AQ1" s="138"/>
      <c r="AR1" s="138"/>
      <c r="AS1" s="139"/>
      <c r="AT1" s="137" t="s">
        <v>85</v>
      </c>
      <c r="AU1" s="138"/>
      <c r="AV1" s="138"/>
      <c r="AW1" s="138"/>
      <c r="AX1" s="139"/>
      <c r="AY1" s="137" t="s">
        <v>86</v>
      </c>
      <c r="AZ1" s="138"/>
      <c r="BA1" s="138"/>
      <c r="BB1" s="139"/>
      <c r="BC1" s="137" t="s">
        <v>87</v>
      </c>
      <c r="BD1" s="138"/>
      <c r="BE1" s="138"/>
      <c r="BF1" s="138"/>
      <c r="BG1" s="139"/>
      <c r="BH1" s="137" t="s">
        <v>88</v>
      </c>
      <c r="BI1" s="138"/>
      <c r="BJ1" s="138"/>
      <c r="BK1" s="139"/>
    </row>
    <row r="2" spans="1:63" customFormat="1" ht="15" customHeight="1">
      <c r="A2" s="101" t="str">
        <f>IF(Bìa!A2="","",Bìa!A2)</f>
        <v>Manager User</v>
      </c>
      <c r="B2" s="102"/>
      <c r="C2" s="102"/>
      <c r="D2" s="102"/>
      <c r="E2" s="102"/>
      <c r="F2" s="102"/>
      <c r="G2" s="102"/>
      <c r="H2" s="102"/>
      <c r="I2" s="102"/>
      <c r="J2" s="103"/>
      <c r="K2" s="101" t="str">
        <f>IF(Bìa!K2="","",Bìa!K2)</f>
        <v>14_Thiết kế DB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01" t="str">
        <f>IF(Bìa!AP2="","",Bìa!AP2)</f>
        <v>ThanhPD</v>
      </c>
      <c r="AQ2" s="102"/>
      <c r="AR2" s="102"/>
      <c r="AS2" s="103"/>
      <c r="AT2" s="107">
        <f>IF(Bìa!AT2="","",Bìa!AT2)</f>
        <v>44930</v>
      </c>
      <c r="AU2" s="108"/>
      <c r="AV2" s="108"/>
      <c r="AW2" s="108"/>
      <c r="AX2" s="109"/>
      <c r="AY2" s="101" t="str">
        <f>IF(Bìa!AY2="","",Bìa!AY2)</f>
        <v>ThanhPD</v>
      </c>
      <c r="AZ2" s="102"/>
      <c r="BA2" s="102"/>
      <c r="BB2" s="103"/>
      <c r="BC2" s="107">
        <f>IF(Bìa!BC2="","",Bìa!BC2)</f>
        <v>44930</v>
      </c>
      <c r="BD2" s="108"/>
      <c r="BE2" s="108"/>
      <c r="BF2" s="108"/>
      <c r="BG2" s="109"/>
      <c r="BH2" s="101">
        <f>IF(Bìa!BH2="","",Bìa!BH2)</f>
        <v>0.1</v>
      </c>
      <c r="BI2" s="102"/>
      <c r="BJ2" s="102"/>
      <c r="BK2" s="103"/>
    </row>
    <row r="3" spans="1:63" customFormat="1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104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customFormat="1" ht="24.95" customHeight="1">
      <c r="A4" s="137" t="s">
        <v>81</v>
      </c>
      <c r="B4" s="138"/>
      <c r="C4" s="138"/>
      <c r="D4" s="138"/>
      <c r="E4" s="138"/>
      <c r="F4" s="138"/>
      <c r="G4" s="139"/>
      <c r="H4" s="123" t="str">
        <f>IF(Bìa!H4="","",Bìa!H4)</f>
        <v/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37" t="s">
        <v>82</v>
      </c>
      <c r="V4" s="138"/>
      <c r="W4" s="138"/>
      <c r="X4" s="138"/>
      <c r="Y4" s="139"/>
      <c r="Z4" s="123" t="s">
        <v>28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5"/>
      <c r="AP4" s="123" t="str">
        <f>H11</f>
        <v>Bảng thông tin trình độ tiếng Nhật</v>
      </c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5"/>
    </row>
    <row r="5" spans="1:63" customFormat="1" ht="5.0999999999999996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s="5" customFormat="1" ht="15" customHeight="1">
      <c r="A6" s="5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51"/>
    </row>
    <row r="7" spans="1:63" s="5" customFormat="1" ht="15" customHeight="1">
      <c r="A7" s="5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51"/>
    </row>
    <row r="8" spans="1:63" s="5" customFormat="1" ht="15" customHeight="1">
      <c r="A8" s="50"/>
      <c r="B8" s="60" t="s">
        <v>101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51"/>
    </row>
    <row r="9" spans="1:63" s="5" customFormat="1" ht="15" customHeight="1">
      <c r="A9" s="5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51"/>
    </row>
    <row r="10" spans="1:63" s="5" customFormat="1" ht="15" customHeight="1">
      <c r="A10" s="50"/>
      <c r="B10" s="31"/>
      <c r="C10" s="439" t="s">
        <v>104</v>
      </c>
      <c r="D10" s="440"/>
      <c r="E10" s="440"/>
      <c r="F10" s="440"/>
      <c r="G10" s="441"/>
      <c r="H10" s="442" t="s">
        <v>110</v>
      </c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4"/>
      <c r="Z10" s="439" t="s">
        <v>106</v>
      </c>
      <c r="AA10" s="440"/>
      <c r="AB10" s="440"/>
      <c r="AC10" s="440"/>
      <c r="AD10" s="441"/>
      <c r="AE10" s="442" t="s">
        <v>6</v>
      </c>
      <c r="AF10" s="443"/>
      <c r="AG10" s="443"/>
      <c r="AH10" s="443"/>
      <c r="AI10" s="443"/>
      <c r="AJ10" s="443"/>
      <c r="AK10" s="443"/>
      <c r="AL10" s="443"/>
      <c r="AM10" s="443"/>
      <c r="AN10" s="443"/>
      <c r="AO10" s="444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51"/>
    </row>
    <row r="11" spans="1:63" s="5" customFormat="1" ht="15" customHeight="1">
      <c r="A11" s="50"/>
      <c r="B11" s="31"/>
      <c r="C11" s="448" t="s">
        <v>69</v>
      </c>
      <c r="D11" s="449"/>
      <c r="E11" s="449"/>
      <c r="F11" s="449"/>
      <c r="G11" s="450"/>
      <c r="H11" s="451" t="s">
        <v>32</v>
      </c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3"/>
      <c r="Z11" s="448" t="s">
        <v>88</v>
      </c>
      <c r="AA11" s="449"/>
      <c r="AB11" s="449"/>
      <c r="AC11" s="449"/>
      <c r="AD11" s="450"/>
      <c r="AE11" s="454" t="s">
        <v>33</v>
      </c>
      <c r="AF11" s="455"/>
      <c r="AG11" s="455"/>
      <c r="AH11" s="455"/>
      <c r="AI11" s="455"/>
      <c r="AJ11" s="455"/>
      <c r="AK11" s="455"/>
      <c r="AL11" s="455"/>
      <c r="AM11" s="455"/>
      <c r="AN11" s="455"/>
      <c r="AO11" s="456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51"/>
    </row>
    <row r="12" spans="1:63" s="5" customFormat="1" ht="15" customHeight="1">
      <c r="A12" s="50"/>
      <c r="B12" s="31"/>
      <c r="C12" s="457" t="s">
        <v>70</v>
      </c>
      <c r="D12" s="458"/>
      <c r="E12" s="458"/>
      <c r="F12" s="458"/>
      <c r="G12" s="459"/>
      <c r="H12" s="445" t="s">
        <v>54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7"/>
      <c r="Z12" s="460"/>
      <c r="AA12" s="458"/>
      <c r="AB12" s="458"/>
      <c r="AC12" s="458"/>
      <c r="AD12" s="459"/>
      <c r="AE12" s="461"/>
      <c r="AF12" s="462"/>
      <c r="AG12" s="462"/>
      <c r="AH12" s="462"/>
      <c r="AI12" s="462"/>
      <c r="AJ12" s="462"/>
      <c r="AK12" s="462"/>
      <c r="AL12" s="462"/>
      <c r="AM12" s="462"/>
      <c r="AN12" s="462"/>
      <c r="AO12" s="463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51"/>
    </row>
    <row r="13" spans="1:63" s="5" customFormat="1" ht="15" customHeight="1">
      <c r="A13" s="50"/>
      <c r="B13" s="31"/>
      <c r="C13" s="464" t="s">
        <v>105</v>
      </c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5"/>
      <c r="Z13" s="465"/>
      <c r="AA13" s="465"/>
      <c r="AB13" s="465"/>
      <c r="AC13" s="465"/>
      <c r="AD13" s="465"/>
      <c r="AE13" s="465"/>
      <c r="AF13" s="465"/>
      <c r="AG13" s="465"/>
      <c r="AH13" s="465"/>
      <c r="AI13" s="465"/>
      <c r="AJ13" s="465"/>
      <c r="AK13" s="465"/>
      <c r="AL13" s="465"/>
      <c r="AM13" s="465"/>
      <c r="AN13" s="465"/>
      <c r="AO13" s="466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51"/>
    </row>
    <row r="14" spans="1:63" s="5" customFormat="1" ht="15" customHeight="1">
      <c r="A14" s="50"/>
      <c r="B14" s="31"/>
      <c r="C14" s="442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443"/>
      <c r="W14" s="443"/>
      <c r="X14" s="443"/>
      <c r="Y14" s="443"/>
      <c r="Z14" s="443"/>
      <c r="AA14" s="443"/>
      <c r="AB14" s="443"/>
      <c r="AC14" s="443"/>
      <c r="AD14" s="443"/>
      <c r="AE14" s="443"/>
      <c r="AF14" s="443"/>
      <c r="AG14" s="443"/>
      <c r="AH14" s="443"/>
      <c r="AI14" s="443"/>
      <c r="AJ14" s="443"/>
      <c r="AK14" s="443"/>
      <c r="AL14" s="443"/>
      <c r="AM14" s="443"/>
      <c r="AN14" s="443"/>
      <c r="AO14" s="444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51"/>
    </row>
    <row r="15" spans="1:63" s="5" customFormat="1" ht="15" customHeight="1">
      <c r="A15" s="50"/>
      <c r="B15" s="31"/>
      <c r="C15" s="451"/>
      <c r="D15" s="452"/>
      <c r="E15" s="452"/>
      <c r="F15" s="452"/>
      <c r="G15" s="452"/>
      <c r="H15" s="452"/>
      <c r="I15" s="452"/>
      <c r="J15" s="452"/>
      <c r="K15" s="452"/>
      <c r="L15" s="452"/>
      <c r="M15" s="452"/>
      <c r="N15" s="452"/>
      <c r="O15" s="452"/>
      <c r="P15" s="452"/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452"/>
      <c r="AD15" s="452"/>
      <c r="AE15" s="452"/>
      <c r="AF15" s="452"/>
      <c r="AG15" s="452"/>
      <c r="AH15" s="452"/>
      <c r="AI15" s="452"/>
      <c r="AJ15" s="452"/>
      <c r="AK15" s="452"/>
      <c r="AL15" s="452"/>
      <c r="AM15" s="452"/>
      <c r="AN15" s="452"/>
      <c r="AO15" s="453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51"/>
    </row>
    <row r="16" spans="1:63" s="5" customFormat="1" ht="15" customHeight="1">
      <c r="A16" s="50"/>
      <c r="B16" s="31"/>
      <c r="C16" s="451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2"/>
      <c r="AB16" s="452"/>
      <c r="AC16" s="452"/>
      <c r="AD16" s="452"/>
      <c r="AE16" s="452"/>
      <c r="AF16" s="452"/>
      <c r="AG16" s="452"/>
      <c r="AH16" s="452"/>
      <c r="AI16" s="452"/>
      <c r="AJ16" s="452"/>
      <c r="AK16" s="452"/>
      <c r="AL16" s="452"/>
      <c r="AM16" s="452"/>
      <c r="AN16" s="452"/>
      <c r="AO16" s="453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51"/>
    </row>
    <row r="17" spans="1:63" s="5" customFormat="1" ht="15" customHeight="1">
      <c r="A17" s="50"/>
      <c r="B17" s="31"/>
      <c r="C17" s="451"/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452"/>
      <c r="O17" s="452"/>
      <c r="P17" s="452"/>
      <c r="Q17" s="452"/>
      <c r="R17" s="452"/>
      <c r="S17" s="452"/>
      <c r="T17" s="452"/>
      <c r="U17" s="452"/>
      <c r="V17" s="452"/>
      <c r="W17" s="452"/>
      <c r="X17" s="452"/>
      <c r="Y17" s="452"/>
      <c r="Z17" s="452"/>
      <c r="AA17" s="452"/>
      <c r="AB17" s="452"/>
      <c r="AC17" s="452"/>
      <c r="AD17" s="452"/>
      <c r="AE17" s="452"/>
      <c r="AF17" s="452"/>
      <c r="AG17" s="452"/>
      <c r="AH17" s="452"/>
      <c r="AI17" s="452"/>
      <c r="AJ17" s="452"/>
      <c r="AK17" s="452"/>
      <c r="AL17" s="452"/>
      <c r="AM17" s="452"/>
      <c r="AN17" s="452"/>
      <c r="AO17" s="453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51"/>
    </row>
    <row r="18" spans="1:63" s="5" customFormat="1" ht="15" customHeight="1">
      <c r="A18" s="50"/>
      <c r="B18" s="31"/>
      <c r="C18" s="445"/>
      <c r="D18" s="446"/>
      <c r="E18" s="446"/>
      <c r="F18" s="446"/>
      <c r="G18" s="446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7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51"/>
    </row>
    <row r="19" spans="1:63" s="5" customFormat="1" ht="15" customHeight="1">
      <c r="A19" s="5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51"/>
    </row>
    <row r="20" spans="1:63" s="5" customFormat="1" ht="15" customHeight="1">
      <c r="A20" s="50"/>
      <c r="B20" s="31" t="s">
        <v>107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51"/>
    </row>
    <row r="21" spans="1:63" s="5" customFormat="1" ht="15" customHeight="1">
      <c r="A21" s="5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51"/>
    </row>
    <row r="22" spans="1:63" s="5" customFormat="1" ht="15" customHeight="1">
      <c r="A22" s="50"/>
      <c r="B22" s="39" t="s">
        <v>27</v>
      </c>
      <c r="C22" s="40"/>
      <c r="D22" s="39" t="s">
        <v>69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0"/>
      <c r="R22" s="39" t="s">
        <v>70</v>
      </c>
      <c r="S22" s="41"/>
      <c r="T22" s="41"/>
      <c r="U22" s="41"/>
      <c r="V22" s="41"/>
      <c r="W22" s="41"/>
      <c r="X22" s="41"/>
      <c r="Y22" s="41"/>
      <c r="Z22" s="41"/>
      <c r="AA22" s="41"/>
      <c r="AB22" s="40"/>
      <c r="AC22" s="39" t="s">
        <v>108</v>
      </c>
      <c r="AD22" s="41"/>
      <c r="AE22" s="41"/>
      <c r="AF22" s="41"/>
      <c r="AG22" s="40"/>
      <c r="AH22" s="39" t="s">
        <v>2</v>
      </c>
      <c r="AI22" s="40"/>
      <c r="AJ22" s="39" t="s">
        <v>3</v>
      </c>
      <c r="AK22" s="41"/>
      <c r="AL22" s="40"/>
      <c r="AM22" s="39" t="s">
        <v>109</v>
      </c>
      <c r="AN22" s="41"/>
      <c r="AO22" s="41"/>
      <c r="AP22" s="41"/>
      <c r="AQ22" s="41"/>
      <c r="AR22" s="41"/>
      <c r="AS22" s="40"/>
      <c r="AT22" s="39" t="s">
        <v>105</v>
      </c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0"/>
      <c r="BK22" s="51"/>
    </row>
    <row r="23" spans="1:63" s="5" customFormat="1" ht="15" customHeight="1">
      <c r="A23" s="50"/>
      <c r="B23" s="69">
        <v>1</v>
      </c>
      <c r="C23" s="70"/>
      <c r="D23" s="59" t="s">
        <v>59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8"/>
      <c r="R23" s="59" t="s">
        <v>55</v>
      </c>
      <c r="S23" s="57"/>
      <c r="T23" s="57"/>
      <c r="U23" s="57"/>
      <c r="V23" s="57"/>
      <c r="W23" s="57"/>
      <c r="X23" s="57"/>
      <c r="Y23" s="57"/>
      <c r="Z23" s="57"/>
      <c r="AA23" s="57"/>
      <c r="AB23" s="58"/>
      <c r="AC23" s="59" t="s">
        <v>16</v>
      </c>
      <c r="AD23" s="57"/>
      <c r="AE23" s="57"/>
      <c r="AF23" s="57"/>
      <c r="AG23" s="58"/>
      <c r="AH23" s="59" t="s">
        <v>14</v>
      </c>
      <c r="AI23" s="58"/>
      <c r="AJ23" s="59" t="s">
        <v>14</v>
      </c>
      <c r="AK23" s="57"/>
      <c r="AL23" s="58"/>
      <c r="AM23" s="59"/>
      <c r="AN23" s="57"/>
      <c r="AO23" s="57"/>
      <c r="AP23" s="57"/>
      <c r="AQ23" s="57"/>
      <c r="AR23" s="57"/>
      <c r="AS23" s="58"/>
      <c r="AT23" s="59" t="s">
        <v>26</v>
      </c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8"/>
      <c r="BK23" s="51"/>
    </row>
    <row r="24" spans="1:63" s="5" customFormat="1" ht="15" customHeight="1">
      <c r="A24" s="50"/>
      <c r="B24" s="61">
        <v>2</v>
      </c>
      <c r="C24" s="62"/>
      <c r="D24" s="45" t="s">
        <v>60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/>
      <c r="R24" s="45" t="s">
        <v>56</v>
      </c>
      <c r="S24" s="43"/>
      <c r="T24" s="43"/>
      <c r="U24" s="43"/>
      <c r="V24" s="43"/>
      <c r="W24" s="43"/>
      <c r="X24" s="43"/>
      <c r="Y24" s="43"/>
      <c r="Z24" s="43"/>
      <c r="AA24" s="43"/>
      <c r="AB24" s="44"/>
      <c r="AC24" s="45" t="s">
        <v>18</v>
      </c>
      <c r="AD24" s="43"/>
      <c r="AE24" s="43"/>
      <c r="AF24" s="43"/>
      <c r="AG24" s="44"/>
      <c r="AH24" s="45"/>
      <c r="AI24" s="44"/>
      <c r="AJ24" s="45" t="s">
        <v>14</v>
      </c>
      <c r="AK24" s="43"/>
      <c r="AL24" s="44"/>
      <c r="AM24" s="45"/>
      <c r="AN24" s="43"/>
      <c r="AO24" s="43"/>
      <c r="AP24" s="43"/>
      <c r="AQ24" s="43"/>
      <c r="AR24" s="43"/>
      <c r="AS24" s="44"/>
      <c r="AT24" s="45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4"/>
      <c r="BK24" s="51"/>
    </row>
    <row r="25" spans="1:63" s="5" customFormat="1" ht="15" customHeight="1">
      <c r="A25" s="50"/>
      <c r="B25" s="49">
        <v>3</v>
      </c>
      <c r="C25" s="55"/>
      <c r="D25" s="52" t="s">
        <v>61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3"/>
      <c r="R25" s="52" t="s">
        <v>62</v>
      </c>
      <c r="S25" s="54"/>
      <c r="T25" s="54"/>
      <c r="U25" s="54"/>
      <c r="V25" s="54"/>
      <c r="W25" s="54"/>
      <c r="X25" s="54"/>
      <c r="Y25" s="54"/>
      <c r="Z25" s="54"/>
      <c r="AA25" s="54"/>
      <c r="AB25" s="53"/>
      <c r="AC25" s="52" t="s">
        <v>44</v>
      </c>
      <c r="AD25" s="54"/>
      <c r="AE25" s="54"/>
      <c r="AF25" s="54"/>
      <c r="AG25" s="53"/>
      <c r="AH25" s="52"/>
      <c r="AI25" s="53"/>
      <c r="AJ25" s="52" t="s">
        <v>14</v>
      </c>
      <c r="AK25" s="54"/>
      <c r="AL25" s="53"/>
      <c r="AM25" s="52"/>
      <c r="AN25" s="54"/>
      <c r="AO25" s="54"/>
      <c r="AP25" s="54"/>
      <c r="AQ25" s="54"/>
      <c r="AR25" s="54"/>
      <c r="AS25" s="53"/>
      <c r="AT25" s="52" t="s">
        <v>111</v>
      </c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3"/>
      <c r="BK25" s="51"/>
    </row>
    <row r="26" spans="1:63" s="5" customFormat="1" ht="15" customHeight="1">
      <c r="A26" s="5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51"/>
    </row>
    <row r="27" spans="1:63" s="5" customFormat="1" ht="15" customHeight="1">
      <c r="A27" s="50"/>
      <c r="B27" s="60" t="s">
        <v>78</v>
      </c>
      <c r="D27" s="31"/>
      <c r="L27" s="31"/>
      <c r="M27" s="31"/>
      <c r="N27" s="31"/>
      <c r="O27" s="31"/>
      <c r="P27" s="31"/>
      <c r="Q27" s="31"/>
      <c r="R27" s="31"/>
      <c r="S27" s="31"/>
      <c r="U27" s="31"/>
      <c r="V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51"/>
    </row>
    <row r="28" spans="1:63" s="5" customFormat="1" ht="15" customHeight="1">
      <c r="A28" s="5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51"/>
    </row>
    <row r="29" spans="1:63" ht="15" customHeight="1">
      <c r="A29" s="50"/>
      <c r="B29" s="39" t="s">
        <v>55</v>
      </c>
      <c r="C29" s="40"/>
      <c r="D29" s="41"/>
      <c r="E29" s="41"/>
      <c r="F29" s="40"/>
      <c r="G29" s="39" t="s">
        <v>56</v>
      </c>
      <c r="H29" s="41"/>
      <c r="I29" s="41"/>
      <c r="J29" s="41"/>
      <c r="K29" s="41"/>
      <c r="L29" s="41"/>
      <c r="M29" s="41"/>
      <c r="N29" s="41"/>
      <c r="O29" s="41"/>
      <c r="P29" s="41"/>
      <c r="Q29" s="40"/>
      <c r="R29" s="39" t="s">
        <v>62</v>
      </c>
      <c r="S29" s="41"/>
      <c r="T29" s="41"/>
      <c r="U29" s="41"/>
      <c r="V29" s="4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51"/>
    </row>
    <row r="30" spans="1:63" ht="15" customHeight="1">
      <c r="A30" s="50"/>
      <c r="B30" s="59">
        <v>1</v>
      </c>
      <c r="C30" s="57"/>
      <c r="D30" s="57"/>
      <c r="E30" s="57"/>
      <c r="F30" s="58"/>
      <c r="G30" s="59" t="s">
        <v>73</v>
      </c>
      <c r="H30" s="57"/>
      <c r="I30" s="57"/>
      <c r="J30" s="57"/>
      <c r="K30" s="57"/>
      <c r="L30" s="57"/>
      <c r="M30" s="57"/>
      <c r="N30" s="57"/>
      <c r="O30" s="57"/>
      <c r="P30" s="57"/>
      <c r="Q30" s="58"/>
      <c r="R30" s="59">
        <v>1</v>
      </c>
      <c r="S30" s="57"/>
      <c r="T30" s="57"/>
      <c r="U30" s="57"/>
      <c r="V30" s="58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51"/>
    </row>
    <row r="31" spans="1:63" ht="15" customHeight="1">
      <c r="A31" s="50"/>
      <c r="B31" s="45">
        <v>2</v>
      </c>
      <c r="C31" s="43"/>
      <c r="D31" s="43"/>
      <c r="E31" s="43"/>
      <c r="F31" s="44"/>
      <c r="G31" s="45" t="s">
        <v>74</v>
      </c>
      <c r="H31" s="43"/>
      <c r="I31" s="43"/>
      <c r="J31" s="43"/>
      <c r="K31" s="43"/>
      <c r="L31" s="43"/>
      <c r="M31" s="43"/>
      <c r="N31" s="43"/>
      <c r="O31" s="43"/>
      <c r="P31" s="43"/>
      <c r="Q31" s="44"/>
      <c r="R31" s="45">
        <v>2</v>
      </c>
      <c r="S31" s="43"/>
      <c r="T31" s="43"/>
      <c r="U31" s="43"/>
      <c r="V31" s="44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51"/>
    </row>
    <row r="32" spans="1:63" ht="15" customHeight="1">
      <c r="A32" s="22"/>
      <c r="B32" s="45">
        <v>3</v>
      </c>
      <c r="C32" s="43"/>
      <c r="D32" s="43"/>
      <c r="E32" s="43"/>
      <c r="F32" s="44"/>
      <c r="G32" s="45" t="s">
        <v>75</v>
      </c>
      <c r="H32" s="43"/>
      <c r="I32" s="43"/>
      <c r="J32" s="43"/>
      <c r="K32" s="43"/>
      <c r="L32" s="43"/>
      <c r="M32" s="43"/>
      <c r="N32" s="43"/>
      <c r="O32" s="43"/>
      <c r="P32" s="43"/>
      <c r="Q32" s="44"/>
      <c r="R32" s="45">
        <v>3</v>
      </c>
      <c r="S32" s="43"/>
      <c r="T32" s="43"/>
      <c r="U32" s="43"/>
      <c r="V32" s="44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 s="23"/>
    </row>
    <row r="33" spans="1:63" ht="15" customHeight="1">
      <c r="A33" s="22"/>
      <c r="B33" s="45">
        <v>4</v>
      </c>
      <c r="C33" s="43"/>
      <c r="D33" s="43"/>
      <c r="E33" s="43"/>
      <c r="F33" s="44"/>
      <c r="G33" s="45" t="s">
        <v>76</v>
      </c>
      <c r="H33" s="43"/>
      <c r="I33" s="43"/>
      <c r="J33" s="43"/>
      <c r="K33" s="43"/>
      <c r="L33" s="43"/>
      <c r="M33" s="43"/>
      <c r="N33" s="43"/>
      <c r="O33" s="43"/>
      <c r="P33" s="43"/>
      <c r="Q33" s="44"/>
      <c r="R33" s="45">
        <v>4</v>
      </c>
      <c r="S33" s="43"/>
      <c r="T33" s="43"/>
      <c r="U33" s="43"/>
      <c r="V33" s="44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s="23"/>
    </row>
    <row r="34" spans="1:63" ht="15" customHeight="1">
      <c r="A34" s="22"/>
      <c r="B34" s="52">
        <v>5</v>
      </c>
      <c r="C34" s="54"/>
      <c r="D34" s="54"/>
      <c r="E34" s="54"/>
      <c r="F34" s="53"/>
      <c r="G34" s="52" t="s">
        <v>77</v>
      </c>
      <c r="H34" s="54"/>
      <c r="I34" s="54"/>
      <c r="J34" s="54"/>
      <c r="K34" s="54"/>
      <c r="L34" s="54"/>
      <c r="M34" s="54"/>
      <c r="N34" s="54"/>
      <c r="O34" s="54"/>
      <c r="P34" s="54"/>
      <c r="Q34" s="53"/>
      <c r="R34" s="52">
        <v>5</v>
      </c>
      <c r="S34" s="54"/>
      <c r="T34" s="54"/>
      <c r="U34" s="54"/>
      <c r="V34" s="53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s="23"/>
    </row>
    <row r="35" spans="1:63" ht="15" customHeight="1">
      <c r="A35" s="22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 s="23"/>
    </row>
    <row r="36" spans="1:63" ht="15" customHeight="1">
      <c r="A36" s="2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23"/>
    </row>
    <row r="37" spans="1:63" ht="15" customHeight="1">
      <c r="A37" s="22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23"/>
    </row>
    <row r="38" spans="1:63" ht="15" customHeight="1">
      <c r="A38" s="22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23"/>
    </row>
    <row r="39" spans="1:63" ht="15" customHeight="1">
      <c r="A39" s="2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23"/>
    </row>
    <row r="40" spans="1:63" ht="15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6"/>
    </row>
    <row r="41" spans="1:63" ht="15" customHeight="1"/>
    <row r="42" spans="1:63" ht="15" customHeight="1"/>
    <row r="43" spans="1:63" ht="15" customHeight="1"/>
    <row r="44" spans="1:63" ht="15" customHeight="1"/>
    <row r="45" spans="1:63" ht="15" customHeight="1"/>
    <row r="46" spans="1:63" ht="15" customHeight="1"/>
    <row r="47" spans="1:63" ht="15" customHeight="1"/>
    <row r="48" spans="1:6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38">
    <mergeCell ref="BC1:BG1"/>
    <mergeCell ref="A4:G4"/>
    <mergeCell ref="H4:T4"/>
    <mergeCell ref="U4:Y4"/>
    <mergeCell ref="Z4:AO4"/>
    <mergeCell ref="AP4:BK4"/>
    <mergeCell ref="BC2:BG3"/>
    <mergeCell ref="BH2:BK3"/>
    <mergeCell ref="A1:J1"/>
    <mergeCell ref="K1:V1"/>
    <mergeCell ref="W1:AO3"/>
    <mergeCell ref="AP1:AS1"/>
    <mergeCell ref="AT1:AX1"/>
    <mergeCell ref="AY1:BB1"/>
    <mergeCell ref="BH1:BK1"/>
    <mergeCell ref="A2:J3"/>
    <mergeCell ref="K2:V3"/>
    <mergeCell ref="AP2:AS3"/>
    <mergeCell ref="AT2:AX3"/>
    <mergeCell ref="AY2:BB3"/>
    <mergeCell ref="C18:AO18"/>
    <mergeCell ref="C11:G11"/>
    <mergeCell ref="H11:Y11"/>
    <mergeCell ref="Z11:AD11"/>
    <mergeCell ref="AE11:AO11"/>
    <mergeCell ref="C12:G12"/>
    <mergeCell ref="C10:G10"/>
    <mergeCell ref="H10:Y10"/>
    <mergeCell ref="Z10:AD10"/>
    <mergeCell ref="AE10:AO10"/>
    <mergeCell ref="C16:AO16"/>
    <mergeCell ref="C17:AO17"/>
    <mergeCell ref="C15:AO15"/>
    <mergeCell ref="H12:Y12"/>
    <mergeCell ref="Z12:AD12"/>
    <mergeCell ref="AE12:AO12"/>
    <mergeCell ref="C13:AO13"/>
    <mergeCell ref="C14:AO14"/>
  </mergeCells>
  <phoneticPr fontId="16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204"/>
  <sheetViews>
    <sheetView view="pageBreakPreview" zoomScaleNormal="75" zoomScaleSheetLayoutView="100" workbookViewId="0">
      <selection sqref="A1:J1"/>
    </sheetView>
  </sheetViews>
  <sheetFormatPr defaultColWidth="8.88671875" defaultRowHeight="13.5"/>
  <cols>
    <col min="1" max="63" width="2.77734375" style="1" customWidth="1"/>
    <col min="64" max="64" width="8.88671875" style="1" customWidth="1"/>
    <col min="65" max="16384" width="8.88671875" style="1"/>
  </cols>
  <sheetData>
    <row r="1" spans="1:63" customFormat="1" ht="24.95" customHeight="1">
      <c r="A1" s="137" t="s">
        <v>79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80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IF(Bìa!W1="","",Bìa!W1)</f>
        <v>TKDB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37" t="s">
        <v>84</v>
      </c>
      <c r="AQ1" s="138"/>
      <c r="AR1" s="138"/>
      <c r="AS1" s="139"/>
      <c r="AT1" s="137" t="s">
        <v>85</v>
      </c>
      <c r="AU1" s="138"/>
      <c r="AV1" s="138"/>
      <c r="AW1" s="138"/>
      <c r="AX1" s="139"/>
      <c r="AY1" s="137" t="s">
        <v>86</v>
      </c>
      <c r="AZ1" s="138"/>
      <c r="BA1" s="138"/>
      <c r="BB1" s="139"/>
      <c r="BC1" s="137" t="s">
        <v>87</v>
      </c>
      <c r="BD1" s="138"/>
      <c r="BE1" s="138"/>
      <c r="BF1" s="138"/>
      <c r="BG1" s="139"/>
      <c r="BH1" s="137" t="s">
        <v>88</v>
      </c>
      <c r="BI1" s="138"/>
      <c r="BJ1" s="138"/>
      <c r="BK1" s="139"/>
    </row>
    <row r="2" spans="1:63" customFormat="1" ht="15" customHeight="1">
      <c r="A2" s="101" t="str">
        <f>IF(Bìa!A2="","",Bìa!A2)</f>
        <v>Manager User</v>
      </c>
      <c r="B2" s="102"/>
      <c r="C2" s="102"/>
      <c r="D2" s="102"/>
      <c r="E2" s="102"/>
      <c r="F2" s="102"/>
      <c r="G2" s="102"/>
      <c r="H2" s="102"/>
      <c r="I2" s="102"/>
      <c r="J2" s="103"/>
      <c r="K2" s="101" t="str">
        <f>IF(Bìa!K2="","",Bìa!K2)</f>
        <v>14_Thiết kế DB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01" t="str">
        <f>IF(Bìa!AP2="","",Bìa!AP2)</f>
        <v>ThanhPD</v>
      </c>
      <c r="AQ2" s="102"/>
      <c r="AR2" s="102"/>
      <c r="AS2" s="103"/>
      <c r="AT2" s="107">
        <f>IF(Bìa!AT2="","",Bìa!AT2)</f>
        <v>44930</v>
      </c>
      <c r="AU2" s="108"/>
      <c r="AV2" s="108"/>
      <c r="AW2" s="108"/>
      <c r="AX2" s="109"/>
      <c r="AY2" s="101" t="str">
        <f>IF(Bìa!AY2="","",Bìa!AY2)</f>
        <v>ThanhPD</v>
      </c>
      <c r="AZ2" s="102"/>
      <c r="BA2" s="102"/>
      <c r="BB2" s="103"/>
      <c r="BC2" s="107">
        <f>IF(Bìa!BC2="","",Bìa!BC2)</f>
        <v>44930</v>
      </c>
      <c r="BD2" s="108"/>
      <c r="BE2" s="108"/>
      <c r="BF2" s="108"/>
      <c r="BG2" s="109"/>
      <c r="BH2" s="101">
        <f>IF(Bìa!BH2="","",Bìa!BH2)</f>
        <v>0.1</v>
      </c>
      <c r="BI2" s="102"/>
      <c r="BJ2" s="102"/>
      <c r="BK2" s="103"/>
    </row>
    <row r="3" spans="1:63" customFormat="1" ht="15" customHeight="1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104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customFormat="1" ht="24.95" customHeight="1">
      <c r="A4" s="137" t="s">
        <v>81</v>
      </c>
      <c r="B4" s="138"/>
      <c r="C4" s="138"/>
      <c r="D4" s="138"/>
      <c r="E4" s="138"/>
      <c r="F4" s="138"/>
      <c r="G4" s="139"/>
      <c r="H4" s="123" t="str">
        <f>IF(Bìa!H4="","",Bìa!H4)</f>
        <v/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37" t="s">
        <v>82</v>
      </c>
      <c r="V4" s="138"/>
      <c r="W4" s="138"/>
      <c r="X4" s="138"/>
      <c r="Y4" s="139"/>
      <c r="Z4" s="123" t="str">
        <f>IF(Bìa!Z4="","",Bìa!Z4)</f>
        <v>ー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5"/>
      <c r="AP4" s="123" t="str">
        <f>H11</f>
        <v>Bảng quan hệ nhân viên trình độ tiếng Nhật</v>
      </c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5"/>
    </row>
    <row r="5" spans="1:63" customFormat="1" ht="5.0999999999999996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s="5" customFormat="1" ht="15" customHeight="1">
      <c r="A6" s="5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51"/>
    </row>
    <row r="7" spans="1:63" s="5" customFormat="1" ht="15" customHeight="1">
      <c r="A7" s="5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51"/>
    </row>
    <row r="8" spans="1:63" s="5" customFormat="1" ht="15" customHeight="1">
      <c r="A8" s="50"/>
      <c r="B8" s="60" t="s">
        <v>101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51"/>
    </row>
    <row r="9" spans="1:63" s="5" customFormat="1" ht="15" customHeight="1">
      <c r="A9" s="5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51"/>
    </row>
    <row r="10" spans="1:63" s="5" customFormat="1" ht="15" customHeight="1">
      <c r="A10" s="50"/>
      <c r="B10" s="31"/>
      <c r="C10" s="439" t="s">
        <v>104</v>
      </c>
      <c r="D10" s="440"/>
      <c r="E10" s="440"/>
      <c r="F10" s="440"/>
      <c r="G10" s="441"/>
      <c r="H10" s="442" t="s">
        <v>110</v>
      </c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4"/>
      <c r="Z10" s="439" t="s">
        <v>106</v>
      </c>
      <c r="AA10" s="440"/>
      <c r="AB10" s="440"/>
      <c r="AC10" s="440"/>
      <c r="AD10" s="441"/>
      <c r="AE10" s="442" t="s">
        <v>6</v>
      </c>
      <c r="AF10" s="443"/>
      <c r="AG10" s="443"/>
      <c r="AH10" s="443"/>
      <c r="AI10" s="443"/>
      <c r="AJ10" s="443"/>
      <c r="AK10" s="443"/>
      <c r="AL10" s="443"/>
      <c r="AM10" s="443"/>
      <c r="AN10" s="443"/>
      <c r="AO10" s="444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51"/>
    </row>
    <row r="11" spans="1:63" s="5" customFormat="1" ht="15" customHeight="1">
      <c r="A11" s="50"/>
      <c r="B11" s="31"/>
      <c r="C11" s="448" t="s">
        <v>69</v>
      </c>
      <c r="D11" s="449"/>
      <c r="E11" s="449"/>
      <c r="F11" s="449"/>
      <c r="G11" s="450"/>
      <c r="H11" s="451" t="s">
        <v>103</v>
      </c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3"/>
      <c r="Z11" s="448" t="s">
        <v>88</v>
      </c>
      <c r="AA11" s="449"/>
      <c r="AB11" s="449"/>
      <c r="AC11" s="449"/>
      <c r="AD11" s="450"/>
      <c r="AE11" s="454" t="s">
        <v>33</v>
      </c>
      <c r="AF11" s="455"/>
      <c r="AG11" s="455"/>
      <c r="AH11" s="455"/>
      <c r="AI11" s="455"/>
      <c r="AJ11" s="455"/>
      <c r="AK11" s="455"/>
      <c r="AL11" s="455"/>
      <c r="AM11" s="455"/>
      <c r="AN11" s="455"/>
      <c r="AO11" s="456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51"/>
    </row>
    <row r="12" spans="1:63" s="5" customFormat="1" ht="15" customHeight="1">
      <c r="A12" s="50"/>
      <c r="B12" s="31"/>
      <c r="C12" s="457" t="s">
        <v>70</v>
      </c>
      <c r="D12" s="458"/>
      <c r="E12" s="458"/>
      <c r="F12" s="458"/>
      <c r="G12" s="459"/>
      <c r="H12" s="445" t="s">
        <v>57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7"/>
      <c r="Z12" s="460"/>
      <c r="AA12" s="458"/>
      <c r="AB12" s="458"/>
      <c r="AC12" s="458"/>
      <c r="AD12" s="459"/>
      <c r="AE12" s="461"/>
      <c r="AF12" s="462"/>
      <c r="AG12" s="462"/>
      <c r="AH12" s="462"/>
      <c r="AI12" s="462"/>
      <c r="AJ12" s="462"/>
      <c r="AK12" s="462"/>
      <c r="AL12" s="462"/>
      <c r="AM12" s="462"/>
      <c r="AN12" s="462"/>
      <c r="AO12" s="463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51"/>
    </row>
    <row r="13" spans="1:63" s="5" customFormat="1" ht="15" customHeight="1">
      <c r="A13" s="50"/>
      <c r="B13" s="31"/>
      <c r="C13" s="464" t="s">
        <v>105</v>
      </c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5"/>
      <c r="Z13" s="465"/>
      <c r="AA13" s="465"/>
      <c r="AB13" s="465"/>
      <c r="AC13" s="465"/>
      <c r="AD13" s="465"/>
      <c r="AE13" s="465"/>
      <c r="AF13" s="465"/>
      <c r="AG13" s="465"/>
      <c r="AH13" s="465"/>
      <c r="AI13" s="465"/>
      <c r="AJ13" s="465"/>
      <c r="AK13" s="465"/>
      <c r="AL13" s="465"/>
      <c r="AM13" s="465"/>
      <c r="AN13" s="465"/>
      <c r="AO13" s="466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51"/>
    </row>
    <row r="14" spans="1:63" s="5" customFormat="1" ht="15" customHeight="1">
      <c r="A14" s="50"/>
      <c r="B14" s="31"/>
      <c r="C14" s="442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443"/>
      <c r="W14" s="443"/>
      <c r="X14" s="443"/>
      <c r="Y14" s="443"/>
      <c r="Z14" s="443"/>
      <c r="AA14" s="443"/>
      <c r="AB14" s="443"/>
      <c r="AC14" s="443"/>
      <c r="AD14" s="443"/>
      <c r="AE14" s="443"/>
      <c r="AF14" s="443"/>
      <c r="AG14" s="443"/>
      <c r="AH14" s="443"/>
      <c r="AI14" s="443"/>
      <c r="AJ14" s="443"/>
      <c r="AK14" s="443"/>
      <c r="AL14" s="443"/>
      <c r="AM14" s="443"/>
      <c r="AN14" s="443"/>
      <c r="AO14" s="444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51"/>
    </row>
    <row r="15" spans="1:63" s="5" customFormat="1" ht="15" customHeight="1">
      <c r="A15" s="50"/>
      <c r="B15" s="31"/>
      <c r="C15" s="451"/>
      <c r="D15" s="452"/>
      <c r="E15" s="452"/>
      <c r="F15" s="452"/>
      <c r="G15" s="452"/>
      <c r="H15" s="452"/>
      <c r="I15" s="452"/>
      <c r="J15" s="452"/>
      <c r="K15" s="452"/>
      <c r="L15" s="452"/>
      <c r="M15" s="452"/>
      <c r="N15" s="452"/>
      <c r="O15" s="452"/>
      <c r="P15" s="452"/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452"/>
      <c r="AD15" s="452"/>
      <c r="AE15" s="452"/>
      <c r="AF15" s="452"/>
      <c r="AG15" s="452"/>
      <c r="AH15" s="452"/>
      <c r="AI15" s="452"/>
      <c r="AJ15" s="452"/>
      <c r="AK15" s="452"/>
      <c r="AL15" s="452"/>
      <c r="AM15" s="452"/>
      <c r="AN15" s="452"/>
      <c r="AO15" s="453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51"/>
    </row>
    <row r="16" spans="1:63" s="5" customFormat="1" ht="15" customHeight="1">
      <c r="A16" s="50"/>
      <c r="B16" s="31"/>
      <c r="C16" s="451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2"/>
      <c r="AB16" s="452"/>
      <c r="AC16" s="452"/>
      <c r="AD16" s="452"/>
      <c r="AE16" s="452"/>
      <c r="AF16" s="452"/>
      <c r="AG16" s="452"/>
      <c r="AH16" s="452"/>
      <c r="AI16" s="452"/>
      <c r="AJ16" s="452"/>
      <c r="AK16" s="452"/>
      <c r="AL16" s="452"/>
      <c r="AM16" s="452"/>
      <c r="AN16" s="452"/>
      <c r="AO16" s="453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51"/>
    </row>
    <row r="17" spans="1:63" s="5" customFormat="1" ht="15" customHeight="1">
      <c r="A17" s="50"/>
      <c r="B17" s="31"/>
      <c r="C17" s="451"/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452"/>
      <c r="O17" s="452"/>
      <c r="P17" s="452"/>
      <c r="Q17" s="452"/>
      <c r="R17" s="452"/>
      <c r="S17" s="452"/>
      <c r="T17" s="452"/>
      <c r="U17" s="452"/>
      <c r="V17" s="452"/>
      <c r="W17" s="452"/>
      <c r="X17" s="452"/>
      <c r="Y17" s="452"/>
      <c r="Z17" s="452"/>
      <c r="AA17" s="452"/>
      <c r="AB17" s="452"/>
      <c r="AC17" s="452"/>
      <c r="AD17" s="452"/>
      <c r="AE17" s="452"/>
      <c r="AF17" s="452"/>
      <c r="AG17" s="452"/>
      <c r="AH17" s="452"/>
      <c r="AI17" s="452"/>
      <c r="AJ17" s="452"/>
      <c r="AK17" s="452"/>
      <c r="AL17" s="452"/>
      <c r="AM17" s="452"/>
      <c r="AN17" s="452"/>
      <c r="AO17" s="453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51"/>
    </row>
    <row r="18" spans="1:63" s="5" customFormat="1" ht="15" customHeight="1">
      <c r="A18" s="50"/>
      <c r="B18" s="31"/>
      <c r="C18" s="445"/>
      <c r="D18" s="446"/>
      <c r="E18" s="446"/>
      <c r="F18" s="446"/>
      <c r="G18" s="446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7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51"/>
    </row>
    <row r="19" spans="1:63" s="5" customFormat="1" ht="15" customHeight="1">
      <c r="A19" s="5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51"/>
    </row>
    <row r="20" spans="1:63" s="5" customFormat="1" ht="15" customHeight="1">
      <c r="A20" s="50"/>
      <c r="B20" s="31" t="s">
        <v>107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51"/>
    </row>
    <row r="21" spans="1:63" s="5" customFormat="1" ht="15" customHeight="1">
      <c r="A21" s="5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51"/>
    </row>
    <row r="22" spans="1:63" s="5" customFormat="1" ht="15" customHeight="1">
      <c r="A22" s="50"/>
      <c r="B22" s="39" t="s">
        <v>1</v>
      </c>
      <c r="C22" s="40"/>
      <c r="D22" s="39" t="s">
        <v>69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0"/>
      <c r="R22" s="39" t="s">
        <v>70</v>
      </c>
      <c r="S22" s="41"/>
      <c r="T22" s="41"/>
      <c r="U22" s="41"/>
      <c r="V22" s="41"/>
      <c r="W22" s="41"/>
      <c r="X22" s="41"/>
      <c r="Y22" s="41"/>
      <c r="Z22" s="41"/>
      <c r="AA22" s="41"/>
      <c r="AB22" s="40"/>
      <c r="AC22" s="39" t="s">
        <v>108</v>
      </c>
      <c r="AD22" s="41"/>
      <c r="AE22" s="41"/>
      <c r="AF22" s="41"/>
      <c r="AG22" s="40"/>
      <c r="AH22" s="39" t="s">
        <v>2</v>
      </c>
      <c r="AI22" s="40"/>
      <c r="AJ22" s="39" t="s">
        <v>3</v>
      </c>
      <c r="AK22" s="41"/>
      <c r="AL22" s="40"/>
      <c r="AM22" s="39" t="s">
        <v>109</v>
      </c>
      <c r="AN22" s="41"/>
      <c r="AO22" s="41"/>
      <c r="AP22" s="41"/>
      <c r="AQ22" s="41"/>
      <c r="AR22" s="41"/>
      <c r="AS22" s="40"/>
      <c r="AT22" s="39" t="s">
        <v>105</v>
      </c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0"/>
      <c r="BK22" s="51"/>
    </row>
    <row r="23" spans="1:63" s="5" customFormat="1" ht="15" customHeight="1">
      <c r="A23" s="50"/>
      <c r="B23" s="69">
        <v>1</v>
      </c>
      <c r="C23" s="70"/>
      <c r="D23" s="59" t="s">
        <v>63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8"/>
      <c r="R23" s="59" t="s">
        <v>58</v>
      </c>
      <c r="S23" s="57"/>
      <c r="T23" s="57"/>
      <c r="U23" s="57"/>
      <c r="V23" s="57"/>
      <c r="W23" s="57"/>
      <c r="X23" s="57"/>
      <c r="Y23" s="57"/>
      <c r="Z23" s="57"/>
      <c r="AA23" s="57"/>
      <c r="AB23" s="58"/>
      <c r="AC23" s="59" t="s">
        <v>16</v>
      </c>
      <c r="AD23" s="57"/>
      <c r="AE23" s="57"/>
      <c r="AF23" s="57"/>
      <c r="AG23" s="58"/>
      <c r="AH23" s="59" t="s">
        <v>15</v>
      </c>
      <c r="AI23" s="58"/>
      <c r="AJ23" s="59" t="s">
        <v>19</v>
      </c>
      <c r="AK23" s="57"/>
      <c r="AL23" s="58"/>
      <c r="AM23" s="59"/>
      <c r="AN23" s="57"/>
      <c r="AO23" s="57"/>
      <c r="AP23" s="57"/>
      <c r="AQ23" s="57"/>
      <c r="AR23" s="57"/>
      <c r="AS23" s="58"/>
      <c r="AT23" s="59" t="s">
        <v>13</v>
      </c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67"/>
      <c r="BG23" s="67"/>
      <c r="BH23" s="67"/>
      <c r="BI23" s="67"/>
      <c r="BJ23" s="68"/>
      <c r="BK23" s="51"/>
    </row>
    <row r="24" spans="1:63" s="5" customFormat="1" ht="15" customHeight="1">
      <c r="A24" s="50"/>
      <c r="B24" s="77">
        <f>B23+1</f>
        <v>2</v>
      </c>
      <c r="C24" s="78"/>
      <c r="D24" s="46" t="s">
        <v>45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8"/>
      <c r="R24" s="46" t="s">
        <v>47</v>
      </c>
      <c r="S24" s="47"/>
      <c r="T24" s="47"/>
      <c r="U24" s="47"/>
      <c r="V24" s="47"/>
      <c r="W24" s="47"/>
      <c r="X24" s="47"/>
      <c r="Y24" s="47"/>
      <c r="Z24" s="47"/>
      <c r="AA24" s="47"/>
      <c r="AB24" s="48"/>
      <c r="AC24" s="46" t="s">
        <v>16</v>
      </c>
      <c r="AD24" s="47"/>
      <c r="AE24" s="47"/>
      <c r="AF24" s="47"/>
      <c r="AG24" s="48"/>
      <c r="AH24" s="46" t="s">
        <v>20</v>
      </c>
      <c r="AI24" s="48"/>
      <c r="AJ24" s="45" t="s">
        <v>19</v>
      </c>
      <c r="AK24" s="47"/>
      <c r="AL24" s="48"/>
      <c r="AM24" s="46"/>
      <c r="AN24" s="47"/>
      <c r="AO24" s="47"/>
      <c r="AP24" s="47"/>
      <c r="AQ24" s="47"/>
      <c r="AR24" s="47"/>
      <c r="AS24" s="48"/>
      <c r="AT24" s="46" t="s">
        <v>65</v>
      </c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8"/>
      <c r="BK24" s="51"/>
    </row>
    <row r="25" spans="1:63" s="5" customFormat="1" ht="15" customHeight="1">
      <c r="A25" s="50"/>
      <c r="B25" s="77">
        <f t="shared" ref="B25:B28" si="0">B24+1</f>
        <v>3</v>
      </c>
      <c r="C25" s="78"/>
      <c r="D25" s="45" t="s">
        <v>66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/>
      <c r="R25" s="45" t="s">
        <v>55</v>
      </c>
      <c r="S25" s="43"/>
      <c r="T25" s="43"/>
      <c r="U25" s="43"/>
      <c r="V25" s="43"/>
      <c r="W25" s="43"/>
      <c r="X25" s="43"/>
      <c r="Y25" s="43"/>
      <c r="Z25" s="43"/>
      <c r="AA25" s="43"/>
      <c r="AB25" s="44"/>
      <c r="AC25" s="45" t="s">
        <v>16</v>
      </c>
      <c r="AD25" s="43"/>
      <c r="AE25" s="43"/>
      <c r="AF25" s="43"/>
      <c r="AG25" s="44"/>
      <c r="AH25" s="45" t="s">
        <v>20</v>
      </c>
      <c r="AI25" s="44"/>
      <c r="AJ25" s="45" t="s">
        <v>19</v>
      </c>
      <c r="AK25" s="43"/>
      <c r="AL25" s="44"/>
      <c r="AM25" s="45"/>
      <c r="AN25" s="43"/>
      <c r="AO25" s="43"/>
      <c r="AP25" s="43"/>
      <c r="AQ25" s="43"/>
      <c r="AR25" s="43"/>
      <c r="AS25" s="44"/>
      <c r="AT25" s="45" t="s">
        <v>64</v>
      </c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4"/>
      <c r="BK25" s="51"/>
    </row>
    <row r="26" spans="1:63" s="5" customFormat="1" ht="15" customHeight="1">
      <c r="A26" s="50"/>
      <c r="B26" s="77">
        <f t="shared" si="0"/>
        <v>4</v>
      </c>
      <c r="C26" s="78"/>
      <c r="D26" s="45" t="s">
        <v>67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/>
      <c r="R26" s="45" t="s">
        <v>34</v>
      </c>
      <c r="S26" s="43"/>
      <c r="T26" s="43"/>
      <c r="U26" s="43"/>
      <c r="V26" s="43"/>
      <c r="W26" s="43"/>
      <c r="X26" s="43"/>
      <c r="Y26" s="43"/>
      <c r="Z26" s="43"/>
      <c r="AA26" s="43"/>
      <c r="AB26" s="44"/>
      <c r="AC26" s="45" t="s">
        <v>42</v>
      </c>
      <c r="AD26" s="43"/>
      <c r="AE26" s="43"/>
      <c r="AF26" s="43"/>
      <c r="AG26" s="44"/>
      <c r="AH26" s="45"/>
      <c r="AI26" s="44"/>
      <c r="AJ26" s="45" t="s">
        <v>19</v>
      </c>
      <c r="AK26" s="43"/>
      <c r="AL26" s="44"/>
      <c r="AM26" s="63"/>
      <c r="AN26" s="43"/>
      <c r="AO26" s="43"/>
      <c r="AP26" s="43"/>
      <c r="AQ26" s="43"/>
      <c r="AR26" s="43"/>
      <c r="AS26" s="44"/>
      <c r="AT26" s="45"/>
      <c r="AU26" s="43"/>
      <c r="AV26" s="43"/>
      <c r="AW26" s="43"/>
      <c r="AX26" s="43"/>
      <c r="AY26" s="43"/>
      <c r="AZ26" s="43"/>
      <c r="BA26" s="88"/>
      <c r="BB26" s="88"/>
      <c r="BC26" s="43"/>
      <c r="BD26" s="43"/>
      <c r="BE26" s="65"/>
      <c r="BF26" s="65"/>
      <c r="BG26" s="65"/>
      <c r="BH26" s="65"/>
      <c r="BI26" s="65"/>
      <c r="BJ26" s="66"/>
      <c r="BK26" s="51"/>
    </row>
    <row r="27" spans="1:63" s="76" customFormat="1" ht="15" customHeight="1">
      <c r="A27" s="74"/>
      <c r="B27" s="77">
        <f t="shared" si="0"/>
        <v>5</v>
      </c>
      <c r="C27" s="89"/>
      <c r="D27" s="45" t="s">
        <v>68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4"/>
      <c r="R27" s="45" t="s">
        <v>35</v>
      </c>
      <c r="S27" s="43"/>
      <c r="T27" s="43"/>
      <c r="U27" s="43"/>
      <c r="V27" s="43"/>
      <c r="W27" s="43"/>
      <c r="X27" s="43"/>
      <c r="Y27" s="43"/>
      <c r="Z27" s="43"/>
      <c r="AA27" s="43"/>
      <c r="AB27" s="44"/>
      <c r="AC27" s="45" t="s">
        <v>42</v>
      </c>
      <c r="AD27" s="43"/>
      <c r="AE27" s="43"/>
      <c r="AF27" s="43"/>
      <c r="AG27" s="44"/>
      <c r="AH27" s="45"/>
      <c r="AI27" s="44"/>
      <c r="AJ27" s="45" t="s">
        <v>19</v>
      </c>
      <c r="AK27" s="43"/>
      <c r="AL27" s="44"/>
      <c r="AM27" s="63"/>
      <c r="AN27" s="43"/>
      <c r="AO27" s="43"/>
      <c r="AP27" s="43"/>
      <c r="AQ27" s="43"/>
      <c r="AR27" s="43"/>
      <c r="AS27" s="44"/>
      <c r="AT27" s="45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65"/>
      <c r="BF27" s="65"/>
      <c r="BG27" s="65"/>
      <c r="BH27" s="65"/>
      <c r="BI27" s="65"/>
      <c r="BJ27" s="66"/>
      <c r="BK27" s="75"/>
    </row>
    <row r="28" spans="1:63" s="5" customFormat="1" ht="15" customHeight="1">
      <c r="A28" s="50"/>
      <c r="B28" s="77">
        <f t="shared" si="0"/>
        <v>6</v>
      </c>
      <c r="C28" s="78"/>
      <c r="D28" s="45" t="s">
        <v>36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4"/>
      <c r="R28" s="45" t="s">
        <v>37</v>
      </c>
      <c r="S28" s="43"/>
      <c r="T28" s="43"/>
      <c r="U28" s="43"/>
      <c r="V28" s="43"/>
      <c r="W28" s="43"/>
      <c r="X28" s="43"/>
      <c r="Y28" s="43"/>
      <c r="Z28" s="43"/>
      <c r="AA28" s="43"/>
      <c r="AB28" s="44"/>
      <c r="AC28" s="45" t="s">
        <v>38</v>
      </c>
      <c r="AD28" s="43"/>
      <c r="AE28" s="43"/>
      <c r="AF28" s="43"/>
      <c r="AG28" s="44"/>
      <c r="AH28" s="45"/>
      <c r="AI28" s="44"/>
      <c r="AJ28" s="45" t="s">
        <v>19</v>
      </c>
      <c r="AK28" s="43"/>
      <c r="AL28" s="44"/>
      <c r="AM28" s="45"/>
      <c r="AN28" s="43"/>
      <c r="AO28" s="43"/>
      <c r="AP28" s="43"/>
      <c r="AQ28" s="43"/>
      <c r="AR28" s="43"/>
      <c r="AS28" s="44"/>
      <c r="AT28" s="45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4"/>
      <c r="BK28" s="51"/>
    </row>
    <row r="29" spans="1:63" s="5" customFormat="1" ht="15" customHeight="1">
      <c r="A29" s="50"/>
      <c r="B29" s="49"/>
      <c r="C29" s="55"/>
      <c r="D29" s="52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3"/>
      <c r="R29" s="52"/>
      <c r="S29" s="54"/>
      <c r="T29" s="54"/>
      <c r="U29" s="54"/>
      <c r="V29" s="54"/>
      <c r="W29" s="54"/>
      <c r="X29" s="54"/>
      <c r="Y29" s="54"/>
      <c r="Z29" s="54"/>
      <c r="AA29" s="54"/>
      <c r="AB29" s="53"/>
      <c r="AC29" s="52"/>
      <c r="AD29" s="54"/>
      <c r="AE29" s="54"/>
      <c r="AF29" s="54"/>
      <c r="AG29" s="53"/>
      <c r="AH29" s="52"/>
      <c r="AI29" s="53"/>
      <c r="AJ29" s="52"/>
      <c r="AK29" s="54"/>
      <c r="AL29" s="53"/>
      <c r="AM29" s="52"/>
      <c r="AN29" s="54"/>
      <c r="AO29" s="54"/>
      <c r="AP29" s="54"/>
      <c r="AQ29" s="54"/>
      <c r="AR29" s="54"/>
      <c r="AS29" s="53"/>
      <c r="AT29" s="52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3"/>
      <c r="BK29" s="51"/>
    </row>
    <row r="30" spans="1:63" s="5" customFormat="1" ht="15" customHeight="1">
      <c r="A30" s="5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51"/>
    </row>
    <row r="31" spans="1:63" s="5" customFormat="1" ht="15" customHeight="1">
      <c r="A31" s="50"/>
      <c r="B31" s="31"/>
      <c r="D31" s="31"/>
      <c r="L31" s="31"/>
      <c r="M31" s="31"/>
      <c r="N31" s="31"/>
      <c r="O31" s="31"/>
      <c r="P31" s="31"/>
      <c r="Q31" s="31"/>
      <c r="R31" s="31"/>
      <c r="S31" s="31"/>
      <c r="U31" s="31"/>
      <c r="V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51"/>
    </row>
    <row r="32" spans="1:63" s="5" customFormat="1" ht="15" customHeight="1">
      <c r="A32" s="5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51"/>
    </row>
    <row r="33" spans="1:63" ht="15" customHeight="1">
      <c r="A33" s="5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51"/>
    </row>
    <row r="34" spans="1:63" ht="15" customHeight="1">
      <c r="A34" s="5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51"/>
    </row>
    <row r="35" spans="1:63" ht="15" customHeight="1">
      <c r="A35" s="5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51"/>
    </row>
    <row r="36" spans="1:63" ht="15" customHeight="1">
      <c r="A36" s="2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23"/>
    </row>
    <row r="37" spans="1:63" ht="15" customHeight="1">
      <c r="A37" s="22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23"/>
    </row>
    <row r="38" spans="1:63" ht="15" customHeight="1">
      <c r="A38" s="22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23"/>
    </row>
    <row r="39" spans="1:63" ht="15" customHeight="1">
      <c r="A39" s="2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23"/>
    </row>
    <row r="40" spans="1:63" ht="15" customHeight="1">
      <c r="A40" s="22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23"/>
    </row>
    <row r="41" spans="1:63" ht="15" customHeight="1">
      <c r="A41" s="22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23"/>
    </row>
    <row r="42" spans="1:63" ht="15" customHeight="1">
      <c r="A42" s="2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23"/>
    </row>
    <row r="43" spans="1:63" ht="15" customHeight="1">
      <c r="A43" s="2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23"/>
    </row>
    <row r="44" spans="1:63" ht="15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6"/>
    </row>
    <row r="45" spans="1:63" ht="15" customHeight="1"/>
    <row r="46" spans="1:63" ht="15" customHeight="1"/>
    <row r="47" spans="1:63" ht="15" customHeight="1"/>
    <row r="48" spans="1:6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</sheetData>
  <mergeCells count="38">
    <mergeCell ref="C18:AO18"/>
    <mergeCell ref="C11:G11"/>
    <mergeCell ref="H11:Y11"/>
    <mergeCell ref="Z11:AD11"/>
    <mergeCell ref="AE11:AO11"/>
    <mergeCell ref="C12:G12"/>
    <mergeCell ref="H12:Y12"/>
    <mergeCell ref="Z12:AD12"/>
    <mergeCell ref="AE12:AO12"/>
    <mergeCell ref="C13:AO13"/>
    <mergeCell ref="C14:AO14"/>
    <mergeCell ref="C15:AO15"/>
    <mergeCell ref="C16:AO16"/>
    <mergeCell ref="C17:AO17"/>
    <mergeCell ref="C10:G10"/>
    <mergeCell ref="H10:Y10"/>
    <mergeCell ref="Z10:AD10"/>
    <mergeCell ref="AE10:AO10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6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Bìa</vt:lpstr>
      <vt:lpstr>Lịch sử thay đổi</vt:lpstr>
      <vt:lpstr>Sơ đồ ER</vt:lpstr>
      <vt:lpstr>Danh sách bảng</vt:lpstr>
      <vt:lpstr>employees</vt:lpstr>
      <vt:lpstr>departments</vt:lpstr>
      <vt:lpstr>certifications</vt:lpstr>
      <vt:lpstr>employees_certifications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.com</dc:creator>
  <cp:lastModifiedBy>Le Nghiem Thanh Thuy</cp:lastModifiedBy>
  <dcterms:created xsi:type="dcterms:W3CDTF">2019-05-22T16:45:26Z</dcterms:created>
  <dcterms:modified xsi:type="dcterms:W3CDTF">2023-02-21T08:34:06Z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586451ce-87ed-4ff0-9623-f49dcd4f32d3</vt:lpwstr>
  </property>
</Properties>
</file>